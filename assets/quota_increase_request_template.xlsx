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/>
  </mc:AlternateContent>
  <xr:revisionPtr revIDLastSave="0" documentId="13_ncr:1_{994980DB-1F29-493B-9F36-4FDCE6351847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요청목록" sheetId="1" r:id="rId1"/>
    <sheet name="공통정보" sheetId="2" r:id="rId2"/>
    <sheet name="입력 포맷" sheetId="3" r:id="rId3"/>
    <sheet name="폼 선택값" sheetId="4" r:id="rId4"/>
  </sheets>
  <definedNames>
    <definedName name="Cascade_Body">'폼 선택값'!$A$4:$AQ$200</definedName>
    <definedName name="Cascade_Keys">'폼 선택값'!$A$2:$AQ$2</definedName>
    <definedName name="Keys_DT">'폼 선택값'!$AY$4:$AZ$11</definedName>
    <definedName name="Keys_MT">'폼 선택값'!$AV$4:$AW$7</definedName>
    <definedName name="Keys_QT">'폼 선택값'!$AS$4:$AT$6</definedName>
    <definedName name="L_DT_ADM">'폼 선택값'!$F$4:$F$8</definedName>
    <definedName name="L_DT_ANTH">'폼 선택값'!$G$4:$G$4</definedName>
    <definedName name="L_DT_AOAI">'폼 선택값'!$E$4:$E$11</definedName>
    <definedName name="L_DT_FW">'폼 선택값'!$H$4:$H$4</definedName>
    <definedName name="L_MD_ADM_DZP">'폼 선택값'!$AO$4:$AO$4</definedName>
    <definedName name="L_MD_ADM_DZS">'폼 선택값'!$AI$4:$AI$14</definedName>
    <definedName name="L_MD_ADM_GP">'폼 선택값'!$AM$4:$AM$4</definedName>
    <definedName name="L_MD_ADM_GS">'폼 선택값'!$AG$4:$AG$48</definedName>
    <definedName name="L_MD_ADM_PTU">'폼 선택값'!$AK$4:$AK$4</definedName>
    <definedName name="L_MD_AOAI_DZB">'폼 선택값'!$Q$4:$Q$4</definedName>
    <definedName name="L_MD_AOAI_DZP">'폼 선택값'!$S$4:$S$4</definedName>
    <definedName name="L_MD_AOAI_DZS">'폼 선택값'!$O$4:$O$4</definedName>
    <definedName name="L_MD_AOAI_GB">'폼 선택값'!$K$4:$K$4</definedName>
    <definedName name="L_MD_AOAI_GP">'폼 선택값'!$M$4:$M$29</definedName>
    <definedName name="L_MD_AOAI_GS">'폼 선택값'!$I$4:$I$78</definedName>
    <definedName name="L_MD_AOAI_PTU">'폼 선택값'!$W$4:$W$4</definedName>
    <definedName name="L_MD_AOAI_STD">'폼 선택값'!$U$4:$U$4</definedName>
    <definedName name="L_MD_FW_DZP">'폼 선택값'!$AE$4:$AE$4</definedName>
    <definedName name="L_MD_FW_DZS">'폼 선택값'!$AA$4:$AA$4</definedName>
    <definedName name="L_MD_FW_GP">'폼 선택값'!$AC$4:$AC$4</definedName>
    <definedName name="L_MD_FW_GS">'폼 선택값'!$Y$4:$Y$4</definedName>
    <definedName name="L_MT_FT">'폼 선택값'!$C$4:$C$4</definedName>
    <definedName name="L_MT_MC">'폼 선택값'!$D$4:$D$4</definedName>
    <definedName name="L_MT_MD">'폼 선택값'!$B$4:$B$7</definedName>
    <definedName name="L_NA">'폼 선택값'!$AQ$4:$AQ$4</definedName>
    <definedName name="L_QT">'폼 선택값'!$A$4:$A$6</definedName>
    <definedName name="L_RG_ADM_DZP">'폼 선택값'!$AP$4:$AP$17</definedName>
    <definedName name="L_RG_ADM_DZS">'폼 선택값'!$AJ$4:$AJ$6</definedName>
    <definedName name="L_RG_ADM_GP">'폼 선택값'!$AN$4:$AN$36</definedName>
    <definedName name="L_RG_ADM_GS">'폼 선택값'!$AH$4:$AH$30</definedName>
    <definedName name="L_RG_ADM_PTU">'폼 선택값'!$AL$4:$AL$31</definedName>
    <definedName name="L_RG_AOAI_DZB">'폼 선택값'!$R$4:$R$4</definedName>
    <definedName name="L_RG_AOAI_DZP">'폼 선택값'!$T$4:$T$4</definedName>
    <definedName name="L_RG_AOAI_DZS">'폼 선택값'!$P$4:$P$6</definedName>
    <definedName name="L_RG_AOAI_GB">'폼 선택값'!$L$4:$L$22</definedName>
    <definedName name="L_RG_AOAI_GP">'폼 선택값'!$N$4:$N$36</definedName>
    <definedName name="L_RG_AOAI_GS">'폼 선택값'!$J$4:$J$30</definedName>
    <definedName name="L_RG_AOAI_PTU">'폼 선택값'!$X$4:$X$4</definedName>
    <definedName name="L_RG_AOAI_STD">'폼 선택값'!$V$4:$V$4</definedName>
    <definedName name="L_RG_FW_DZP">'폼 선택값'!$AF$4:$AF$4</definedName>
    <definedName name="L_RG_FW_DZS">'폼 선택값'!$AB$4:$AB$4</definedName>
    <definedName name="L_RG_FW_GP">'폼 선택값'!$AD$4:$AD$36</definedName>
    <definedName name="L_RG_FW_GS">'폼 선택값'!$Z$4:$Z$4</definedName>
    <definedName name="List_AOAIDeployType">'폼 선택값'!$C$4:$C$11</definedName>
    <definedName name="List_ModelType">'폼 선택값'!$B$4:$B$7</definedName>
    <definedName name="List_QuotaType">'폼 선택값'!$A$4:$A$6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7" i="1" l="1"/>
  <c r="M47" i="1"/>
  <c r="L47" i="1"/>
  <c r="I47" i="1"/>
  <c r="V46" i="1"/>
  <c r="R46" i="1" s="1"/>
  <c r="N46" i="1"/>
  <c r="M46" i="1"/>
  <c r="L46" i="1"/>
  <c r="I46" i="1"/>
  <c r="V45" i="1"/>
  <c r="R45" i="1"/>
  <c r="N45" i="1"/>
  <c r="M45" i="1"/>
  <c r="L45" i="1"/>
  <c r="I45" i="1"/>
  <c r="V44" i="1"/>
  <c r="M44" i="1"/>
  <c r="L44" i="1"/>
  <c r="I44" i="1"/>
  <c r="V43" i="1"/>
  <c r="M43" i="1"/>
  <c r="L43" i="1"/>
  <c r="I43" i="1"/>
  <c r="V42" i="1"/>
  <c r="M42" i="1"/>
  <c r="L42" i="1"/>
  <c r="I42" i="1"/>
  <c r="V41" i="1"/>
  <c r="R41" i="1"/>
  <c r="N41" i="1"/>
  <c r="M41" i="1"/>
  <c r="L41" i="1"/>
  <c r="I41" i="1"/>
  <c r="V40" i="1"/>
  <c r="M40" i="1"/>
  <c r="L40" i="1"/>
  <c r="I40" i="1"/>
  <c r="V39" i="1"/>
  <c r="M39" i="1"/>
  <c r="L39" i="1"/>
  <c r="I39" i="1"/>
  <c r="V38" i="1"/>
  <c r="M38" i="1"/>
  <c r="L38" i="1"/>
  <c r="I38" i="1"/>
  <c r="V37" i="1"/>
  <c r="R37" i="1"/>
  <c r="N37" i="1"/>
  <c r="M37" i="1"/>
  <c r="L37" i="1"/>
  <c r="I37" i="1"/>
  <c r="V36" i="1"/>
  <c r="M36" i="1"/>
  <c r="L36" i="1"/>
  <c r="I36" i="1"/>
  <c r="V35" i="1"/>
  <c r="R35" i="1"/>
  <c r="N35" i="1"/>
  <c r="M35" i="1"/>
  <c r="L35" i="1"/>
  <c r="I35" i="1"/>
  <c r="V34" i="1"/>
  <c r="R34" i="1"/>
  <c r="N34" i="1"/>
  <c r="M34" i="1"/>
  <c r="L34" i="1"/>
  <c r="I34" i="1"/>
  <c r="V33" i="1"/>
  <c r="R33" i="1"/>
  <c r="N33" i="1"/>
  <c r="M33" i="1"/>
  <c r="L33" i="1"/>
  <c r="I33" i="1"/>
  <c r="V32" i="1"/>
  <c r="R32" i="1" s="1"/>
  <c r="N32" i="1"/>
  <c r="M32" i="1"/>
  <c r="L32" i="1"/>
  <c r="I32" i="1"/>
  <c r="V31" i="1"/>
  <c r="M31" i="1"/>
  <c r="L31" i="1"/>
  <c r="I31" i="1"/>
  <c r="V30" i="1"/>
  <c r="M30" i="1"/>
  <c r="L30" i="1"/>
  <c r="I30" i="1"/>
  <c r="V29" i="1"/>
  <c r="M29" i="1"/>
  <c r="L29" i="1"/>
  <c r="I29" i="1"/>
  <c r="V28" i="1"/>
  <c r="M28" i="1"/>
  <c r="L28" i="1"/>
  <c r="I28" i="1"/>
  <c r="V27" i="1"/>
  <c r="M27" i="1"/>
  <c r="L27" i="1"/>
  <c r="I27" i="1"/>
  <c r="V26" i="1"/>
  <c r="M26" i="1"/>
  <c r="L26" i="1"/>
  <c r="I26" i="1"/>
  <c r="V25" i="1"/>
  <c r="R25" i="1"/>
  <c r="N25" i="1"/>
  <c r="M25" i="1"/>
  <c r="L25" i="1"/>
  <c r="I25" i="1"/>
  <c r="V24" i="1"/>
  <c r="R24" i="1" s="1"/>
  <c r="N24" i="1"/>
  <c r="M24" i="1"/>
  <c r="L24" i="1"/>
  <c r="I24" i="1"/>
  <c r="V23" i="1"/>
  <c r="R23" i="1"/>
  <c r="N23" i="1"/>
  <c r="M23" i="1"/>
  <c r="L23" i="1"/>
  <c r="I23" i="1"/>
  <c r="V22" i="1"/>
  <c r="M22" i="1"/>
  <c r="L22" i="1"/>
  <c r="I22" i="1"/>
  <c r="V21" i="1"/>
  <c r="M21" i="1"/>
  <c r="L21" i="1"/>
  <c r="I21" i="1"/>
  <c r="V20" i="1"/>
  <c r="M20" i="1"/>
  <c r="L20" i="1"/>
  <c r="I20" i="1"/>
  <c r="V19" i="1"/>
  <c r="R19" i="1"/>
  <c r="N19" i="1"/>
  <c r="M19" i="1"/>
  <c r="L19" i="1"/>
  <c r="I19" i="1"/>
  <c r="V18" i="1"/>
  <c r="R18" i="1"/>
  <c r="N18" i="1"/>
  <c r="M18" i="1"/>
  <c r="L18" i="1"/>
  <c r="I18" i="1"/>
  <c r="V17" i="1"/>
  <c r="M17" i="1"/>
  <c r="L17" i="1"/>
  <c r="I17" i="1"/>
  <c r="V16" i="1"/>
  <c r="M16" i="1"/>
  <c r="L16" i="1"/>
  <c r="I16" i="1"/>
  <c r="V15" i="1"/>
  <c r="M15" i="1"/>
  <c r="L15" i="1"/>
  <c r="I15" i="1"/>
  <c r="V14" i="1"/>
  <c r="M14" i="1"/>
  <c r="L14" i="1"/>
  <c r="I14" i="1"/>
  <c r="V13" i="1"/>
  <c r="M13" i="1"/>
  <c r="L13" i="1"/>
  <c r="I13" i="1"/>
  <c r="V12" i="1"/>
  <c r="M12" i="1"/>
  <c r="L12" i="1"/>
  <c r="I12" i="1"/>
  <c r="V11" i="1"/>
  <c r="M11" i="1"/>
  <c r="L11" i="1"/>
  <c r="I11" i="1"/>
  <c r="V10" i="1"/>
  <c r="M10" i="1"/>
  <c r="L10" i="1"/>
  <c r="I10" i="1"/>
  <c r="V9" i="1"/>
  <c r="M9" i="1"/>
  <c r="L9" i="1"/>
  <c r="I9" i="1"/>
  <c r="V8" i="1"/>
  <c r="M8" i="1"/>
  <c r="L8" i="1"/>
  <c r="I8" i="1"/>
  <c r="V7" i="1"/>
  <c r="M7" i="1"/>
  <c r="L7" i="1"/>
  <c r="I7" i="1"/>
  <c r="V6" i="1"/>
  <c r="M6" i="1"/>
  <c r="L6" i="1"/>
  <c r="I6" i="1"/>
  <c r="V5" i="1"/>
  <c r="M5" i="1"/>
  <c r="L5" i="1"/>
  <c r="I5" i="1"/>
  <c r="V4" i="1"/>
  <c r="M4" i="1"/>
  <c r="L4" i="1"/>
  <c r="I4" i="1"/>
  <c r="R36" i="1" l="1"/>
  <c r="N36" i="1"/>
  <c r="R30" i="1"/>
  <c r="N30" i="1"/>
  <c r="R29" i="1"/>
  <c r="N29" i="1"/>
  <c r="R26" i="1"/>
  <c r="N26" i="1"/>
  <c r="R21" i="1"/>
  <c r="N21" i="1"/>
  <c r="R6" i="1"/>
  <c r="N6" i="1"/>
  <c r="R47" i="1"/>
  <c r="N47" i="1"/>
  <c r="R44" i="1"/>
  <c r="N44" i="1"/>
  <c r="N43" i="1"/>
  <c r="R43" i="1"/>
  <c r="N40" i="1"/>
  <c r="R40" i="1"/>
  <c r="R39" i="1"/>
  <c r="N39" i="1"/>
  <c r="R38" i="1"/>
  <c r="N38" i="1"/>
  <c r="R22" i="1"/>
  <c r="N22" i="1"/>
  <c r="N8" i="1"/>
  <c r="R8" i="1"/>
  <c r="R7" i="1"/>
  <c r="N7" i="1"/>
  <c r="R9" i="1"/>
  <c r="N9" i="1"/>
  <c r="R28" i="1"/>
  <c r="N28" i="1"/>
  <c r="R27" i="1"/>
  <c r="N27" i="1"/>
  <c r="R17" i="1"/>
  <c r="N17" i="1"/>
  <c r="R16" i="1"/>
  <c r="N16" i="1"/>
  <c r="R15" i="1"/>
  <c r="N15" i="1"/>
  <c r="R14" i="1"/>
  <c r="N14" i="1"/>
  <c r="N13" i="1"/>
  <c r="R13" i="1"/>
  <c r="R12" i="1"/>
  <c r="N12" i="1"/>
  <c r="R11" i="1"/>
  <c r="N11" i="1"/>
  <c r="R10" i="1"/>
  <c r="N10" i="1"/>
  <c r="R5" i="1"/>
  <c r="N5" i="1"/>
  <c r="R4" i="1"/>
  <c r="N4" i="1"/>
  <c r="Y31" i="1"/>
  <c r="X31" i="1"/>
  <c r="W31" i="1"/>
  <c r="Y20" i="1"/>
  <c r="X20" i="1"/>
  <c r="W20" i="1"/>
  <c r="Y47" i="1"/>
  <c r="X47" i="1"/>
  <c r="W47" i="1"/>
  <c r="Y46" i="1"/>
  <c r="X46" i="1"/>
  <c r="W46" i="1"/>
  <c r="Y45" i="1"/>
  <c r="X45" i="1"/>
  <c r="W45" i="1"/>
  <c r="Y44" i="1"/>
  <c r="X44" i="1"/>
  <c r="W44" i="1"/>
  <c r="Y43" i="1"/>
  <c r="X43" i="1"/>
  <c r="W43" i="1"/>
  <c r="R42" i="1"/>
  <c r="N42" i="1"/>
  <c r="Y42" i="1"/>
  <c r="X42" i="1"/>
  <c r="W42" i="1"/>
  <c r="Y41" i="1"/>
  <c r="X41" i="1"/>
  <c r="W41" i="1"/>
  <c r="Y40" i="1"/>
  <c r="X40" i="1"/>
  <c r="W40" i="1"/>
  <c r="Y39" i="1"/>
  <c r="X39" i="1"/>
  <c r="W39" i="1"/>
  <c r="Y38" i="1"/>
  <c r="X38" i="1"/>
  <c r="W38" i="1"/>
  <c r="Y37" i="1"/>
  <c r="W37" i="1"/>
  <c r="X37" i="1"/>
  <c r="X36" i="1"/>
  <c r="Y36" i="1"/>
  <c r="W36" i="1"/>
  <c r="Y35" i="1"/>
  <c r="X35" i="1"/>
  <c r="W35" i="1"/>
  <c r="Y34" i="1"/>
  <c r="X34" i="1"/>
  <c r="W34" i="1"/>
  <c r="W33" i="1"/>
  <c r="X33" i="1"/>
  <c r="Y33" i="1"/>
  <c r="X32" i="1"/>
  <c r="Y32" i="1"/>
  <c r="W32" i="1"/>
  <c r="N31" i="1"/>
  <c r="R31" i="1"/>
  <c r="Y30" i="1"/>
  <c r="W30" i="1"/>
  <c r="X30" i="1"/>
  <c r="Y29" i="1"/>
  <c r="X29" i="1"/>
  <c r="W29" i="1"/>
  <c r="Y28" i="1"/>
  <c r="X28" i="1"/>
  <c r="W28" i="1"/>
  <c r="Y27" i="1"/>
  <c r="X27" i="1"/>
  <c r="W27" i="1"/>
  <c r="W26" i="1"/>
  <c r="Y26" i="1"/>
  <c r="X26" i="1"/>
  <c r="Y25" i="1"/>
  <c r="X25" i="1"/>
  <c r="W25" i="1"/>
  <c r="Y24" i="1"/>
  <c r="X24" i="1"/>
  <c r="W24" i="1"/>
  <c r="Y23" i="1"/>
  <c r="X23" i="1"/>
  <c r="W23" i="1"/>
  <c r="Y22" i="1"/>
  <c r="W22" i="1"/>
  <c r="X22" i="1"/>
  <c r="Y21" i="1"/>
  <c r="W21" i="1"/>
  <c r="X21" i="1"/>
  <c r="N20" i="1"/>
  <c r="R20" i="1"/>
  <c r="Y19" i="1"/>
  <c r="X19" i="1"/>
  <c r="W19" i="1"/>
  <c r="W18" i="1"/>
  <c r="Y18" i="1"/>
  <c r="X18" i="1"/>
  <c r="W17" i="1"/>
  <c r="Y17" i="1"/>
  <c r="X17" i="1"/>
  <c r="W16" i="1"/>
  <c r="Y16" i="1"/>
  <c r="X16" i="1"/>
  <c r="Y15" i="1"/>
  <c r="X15" i="1"/>
  <c r="W15" i="1"/>
  <c r="Y14" i="1"/>
  <c r="W14" i="1"/>
  <c r="X14" i="1"/>
  <c r="Y13" i="1"/>
  <c r="X13" i="1"/>
  <c r="W13" i="1"/>
  <c r="Y12" i="1"/>
  <c r="W12" i="1"/>
  <c r="X12" i="1"/>
  <c r="W11" i="1"/>
  <c r="X11" i="1"/>
  <c r="Y11" i="1"/>
  <c r="X10" i="1"/>
  <c r="W10" i="1"/>
  <c r="Y10" i="1"/>
  <c r="W9" i="1"/>
  <c r="X9" i="1"/>
  <c r="Y9" i="1"/>
  <c r="W8" i="1"/>
  <c r="X8" i="1"/>
  <c r="Y8" i="1"/>
  <c r="X7" i="1"/>
  <c r="W7" i="1"/>
  <c r="Y7" i="1"/>
  <c r="Y6" i="1"/>
  <c r="X6" i="1"/>
  <c r="W6" i="1"/>
  <c r="Y5" i="1"/>
  <c r="X5" i="1"/>
  <c r="W5" i="1"/>
  <c r="X4" i="1"/>
  <c r="W4" i="1"/>
  <c r="Y4" i="1"/>
  <c r="U31" i="1" l="1"/>
  <c r="Q31" i="1"/>
  <c r="T31" i="1"/>
  <c r="P31" i="1"/>
  <c r="S31" i="1"/>
  <c r="O31" i="1"/>
  <c r="U20" i="1"/>
  <c r="Q20" i="1"/>
  <c r="T20" i="1"/>
  <c r="P20" i="1"/>
  <c r="S20" i="1"/>
  <c r="O20" i="1"/>
  <c r="Q47" i="1"/>
  <c r="U47" i="1"/>
  <c r="P47" i="1"/>
  <c r="T47" i="1"/>
  <c r="O47" i="1"/>
  <c r="S47" i="1"/>
  <c r="Q46" i="1"/>
  <c r="U46" i="1"/>
  <c r="P46" i="1"/>
  <c r="T46" i="1"/>
  <c r="O46" i="1"/>
  <c r="S46" i="1"/>
  <c r="Q45" i="1"/>
  <c r="U45" i="1"/>
  <c r="P45" i="1"/>
  <c r="T45" i="1"/>
  <c r="O45" i="1"/>
  <c r="S45" i="1"/>
  <c r="Q44" i="1"/>
  <c r="U44" i="1"/>
  <c r="P44" i="1"/>
  <c r="T44" i="1"/>
  <c r="O44" i="1"/>
  <c r="S44" i="1"/>
  <c r="Q43" i="1"/>
  <c r="U43" i="1"/>
  <c r="P43" i="1"/>
  <c r="T43" i="1"/>
  <c r="O43" i="1"/>
  <c r="S43" i="1"/>
  <c r="Q42" i="1"/>
  <c r="U42" i="1"/>
  <c r="P42" i="1"/>
  <c r="T42" i="1"/>
  <c r="O42" i="1"/>
  <c r="S42" i="1"/>
  <c r="Q41" i="1"/>
  <c r="U41" i="1"/>
  <c r="P41" i="1"/>
  <c r="T41" i="1"/>
  <c r="O41" i="1"/>
  <c r="S41" i="1"/>
  <c r="Q40" i="1"/>
  <c r="U40" i="1"/>
  <c r="P40" i="1"/>
  <c r="T40" i="1"/>
  <c r="O40" i="1"/>
  <c r="S40" i="1"/>
  <c r="Q39" i="1"/>
  <c r="U39" i="1"/>
  <c r="P39" i="1"/>
  <c r="T39" i="1"/>
  <c r="O39" i="1"/>
  <c r="S39" i="1"/>
  <c r="Q38" i="1"/>
  <c r="U38" i="1"/>
  <c r="P38" i="1"/>
  <c r="T38" i="1"/>
  <c r="O38" i="1"/>
  <c r="S38" i="1"/>
  <c r="Q37" i="1"/>
  <c r="U37" i="1"/>
  <c r="O37" i="1"/>
  <c r="S37" i="1"/>
  <c r="P37" i="1"/>
  <c r="T37" i="1"/>
  <c r="P36" i="1"/>
  <c r="T36" i="1"/>
  <c r="Q36" i="1"/>
  <c r="U36" i="1"/>
  <c r="O36" i="1"/>
  <c r="S36" i="1"/>
  <c r="Q35" i="1"/>
  <c r="U35" i="1"/>
  <c r="P35" i="1"/>
  <c r="T35" i="1"/>
  <c r="O35" i="1"/>
  <c r="S35" i="1"/>
  <c r="Q34" i="1"/>
  <c r="U34" i="1"/>
  <c r="P34" i="1"/>
  <c r="T34" i="1"/>
  <c r="O34" i="1"/>
  <c r="S34" i="1"/>
  <c r="O33" i="1"/>
  <c r="S33" i="1"/>
  <c r="P33" i="1"/>
  <c r="T33" i="1"/>
  <c r="Q33" i="1"/>
  <c r="U33" i="1"/>
  <c r="P32" i="1"/>
  <c r="T32" i="1"/>
  <c r="Q32" i="1"/>
  <c r="U32" i="1"/>
  <c r="O32" i="1"/>
  <c r="S32" i="1"/>
  <c r="Q30" i="1"/>
  <c r="U30" i="1"/>
  <c r="O30" i="1"/>
  <c r="S30" i="1"/>
  <c r="P30" i="1"/>
  <c r="T30" i="1"/>
  <c r="Q29" i="1"/>
  <c r="U29" i="1"/>
  <c r="P29" i="1"/>
  <c r="T29" i="1"/>
  <c r="O29" i="1"/>
  <c r="S29" i="1"/>
  <c r="Q28" i="1"/>
  <c r="U28" i="1"/>
  <c r="P28" i="1"/>
  <c r="T28" i="1"/>
  <c r="O28" i="1"/>
  <c r="S28" i="1"/>
  <c r="U27" i="1"/>
  <c r="Q27" i="1"/>
  <c r="P27" i="1"/>
  <c r="T27" i="1"/>
  <c r="O27" i="1"/>
  <c r="S27" i="1"/>
  <c r="O26" i="1"/>
  <c r="S26" i="1"/>
  <c r="Q26" i="1"/>
  <c r="U26" i="1"/>
  <c r="P26" i="1"/>
  <c r="T26" i="1"/>
  <c r="Q25" i="1"/>
  <c r="U25" i="1"/>
  <c r="P25" i="1"/>
  <c r="T25" i="1"/>
  <c r="O25" i="1"/>
  <c r="S25" i="1"/>
  <c r="Q24" i="1"/>
  <c r="U24" i="1"/>
  <c r="P24" i="1"/>
  <c r="T24" i="1"/>
  <c r="O24" i="1"/>
  <c r="S24" i="1"/>
  <c r="Q23" i="1"/>
  <c r="U23" i="1"/>
  <c r="P23" i="1"/>
  <c r="T23" i="1"/>
  <c r="O23" i="1"/>
  <c r="S23" i="1"/>
  <c r="Q22" i="1"/>
  <c r="U22" i="1"/>
  <c r="O22" i="1"/>
  <c r="S22" i="1"/>
  <c r="P22" i="1"/>
  <c r="T22" i="1"/>
  <c r="Q21" i="1"/>
  <c r="U21" i="1"/>
  <c r="O21" i="1"/>
  <c r="S21" i="1"/>
  <c r="P21" i="1"/>
  <c r="T21" i="1"/>
  <c r="Q19" i="1"/>
  <c r="U19" i="1"/>
  <c r="P19" i="1"/>
  <c r="T19" i="1"/>
  <c r="O19" i="1"/>
  <c r="S19" i="1"/>
  <c r="O18" i="1"/>
  <c r="S18" i="1"/>
  <c r="Q18" i="1"/>
  <c r="U18" i="1"/>
  <c r="P18" i="1"/>
  <c r="T18" i="1"/>
  <c r="O17" i="1"/>
  <c r="S17" i="1"/>
  <c r="Q17" i="1"/>
  <c r="U17" i="1"/>
  <c r="P17" i="1"/>
  <c r="T17" i="1"/>
  <c r="O16" i="1"/>
  <c r="S16" i="1"/>
  <c r="Q16" i="1"/>
  <c r="U16" i="1"/>
  <c r="P16" i="1"/>
  <c r="T16" i="1"/>
  <c r="Q15" i="1"/>
  <c r="U15" i="1"/>
  <c r="P15" i="1"/>
  <c r="T15" i="1"/>
  <c r="O15" i="1"/>
  <c r="S15" i="1"/>
  <c r="Q14" i="1"/>
  <c r="U14" i="1"/>
  <c r="O14" i="1"/>
  <c r="S14" i="1"/>
  <c r="P14" i="1"/>
  <c r="T14" i="1"/>
  <c r="Q13" i="1"/>
  <c r="U13" i="1"/>
  <c r="P13" i="1"/>
  <c r="T13" i="1"/>
  <c r="O13" i="1"/>
  <c r="S13" i="1"/>
  <c r="Q12" i="1"/>
  <c r="U12" i="1"/>
  <c r="O12" i="1"/>
  <c r="S12" i="1"/>
  <c r="P12" i="1"/>
  <c r="T12" i="1"/>
  <c r="O11" i="1"/>
  <c r="S11" i="1"/>
  <c r="P11" i="1"/>
  <c r="T11" i="1"/>
  <c r="Q11" i="1"/>
  <c r="U11" i="1"/>
  <c r="P10" i="1"/>
  <c r="T10" i="1"/>
  <c r="O10" i="1"/>
  <c r="S10" i="1"/>
  <c r="Q10" i="1"/>
  <c r="U10" i="1"/>
  <c r="O9" i="1"/>
  <c r="S9" i="1"/>
  <c r="P9" i="1"/>
  <c r="T9" i="1"/>
  <c r="Q9" i="1"/>
  <c r="U9" i="1"/>
  <c r="O8" i="1"/>
  <c r="S8" i="1"/>
  <c r="P8" i="1"/>
  <c r="T8" i="1"/>
  <c r="Q8" i="1"/>
  <c r="U8" i="1"/>
  <c r="P7" i="1"/>
  <c r="T7" i="1"/>
  <c r="O7" i="1"/>
  <c r="S7" i="1"/>
  <c r="Q7" i="1"/>
  <c r="U7" i="1"/>
  <c r="Q6" i="1"/>
  <c r="U6" i="1"/>
  <c r="P6" i="1"/>
  <c r="T6" i="1"/>
  <c r="O6" i="1"/>
  <c r="S6" i="1"/>
  <c r="Q5" i="1"/>
  <c r="U5" i="1"/>
  <c r="P5" i="1"/>
  <c r="T5" i="1"/>
  <c r="O5" i="1"/>
  <c r="S5" i="1"/>
  <c r="P4" i="1"/>
  <c r="T4" i="1"/>
  <c r="O4" i="1"/>
  <c r="S4" i="1"/>
  <c r="Q4" i="1"/>
  <c r="U4" i="1"/>
</calcChain>
</file>

<file path=xl/sharedStrings.xml><?xml version="1.0" encoding="utf-8"?>
<sst xmlns="http://schemas.openxmlformats.org/spreadsheetml/2006/main" count="892" uniqueCount="452">
  <si>
    <t>항목</t>
  </si>
  <si>
    <t>값</t>
  </si>
  <si>
    <t>설명</t>
  </si>
  <si>
    <t>First Name</t>
  </si>
  <si>
    <t>담당자 이름(영문). 폼 1번</t>
  </si>
  <si>
    <t>Last Name</t>
  </si>
  <si>
    <t>담당자 성(영문). 폼 2번</t>
  </si>
  <si>
    <t>Company Email</t>
  </si>
  <si>
    <t>회사 이메일. 폼 3번(이메일 형식 검사)</t>
  </si>
  <si>
    <t>Company Name</t>
  </si>
  <si>
    <t>폼 4번</t>
  </si>
  <si>
    <t>Company Address</t>
  </si>
  <si>
    <t>폼 5번</t>
  </si>
  <si>
    <t>Company City</t>
  </si>
  <si>
    <t>폼 6번</t>
  </si>
  <si>
    <t>Company Postal Code</t>
  </si>
  <si>
    <t>폼 7번</t>
  </si>
  <si>
    <t>Company Country</t>
  </si>
  <si>
    <t>폼 8번</t>
  </si>
  <si>
    <t>Subscription Id</t>
  </si>
  <si>
    <t>구독 GUID(XXXXXXXX-XXXX-XXXX-XXXX-XXXXXXXXXXXX). 구독 이름은 폼이 거부함. 요청목록 J열에 값이 있으면 그 값이 우선. 폼 9번</t>
  </si>
  <si>
    <t>Justification</t>
  </si>
  <si>
    <t>폼 10번. 모든 요청에 공통으로 입력됨</t>
  </si>
  <si>
    <t>구독 이름(참고용)</t>
  </si>
  <si>
    <t>폼에 입력되지 않음. GUID 확인용 메모</t>
  </si>
  <si>
    <t>Foundry Quota 증설 요청 목록</t>
  </si>
  <si>
    <t>1행 = 폼 1건. 실행=Y는 제출 대상 표시이며, 실제 전송 전 미리보기 승인이 필요합니다. Quota Type → Model Type → 배포 유형 → 폼 모델명 → Region 순서로 고르면 다음 칸 목록이 바뀝니다. 앞 칸을 바꾸면 뒤 칸은 자동으로 지워지지 않으니 다시 고르세요(맞지 않으면 빨갛게 표시). 헤더 이름은 바꾸지 마세요.</t>
  </si>
  <si>
    <t>실행(Y/N)</t>
  </si>
  <si>
    <t>요청ID</t>
  </si>
  <si>
    <t>Quota Type(폼 11번)</t>
  </si>
  <si>
    <t>Model Type(폼 12번)</t>
  </si>
  <si>
    <t>배포 유형(폼 13번 Quota Request Type)</t>
  </si>
  <si>
    <t>폼 모델명(정확한 표기)</t>
  </si>
  <si>
    <t>Region / Data Zone Pool</t>
  </si>
  <si>
    <t>신청 총 TPM(기존+추가)</t>
  </si>
  <si>
    <t>폼 입력값 kTPM(자동)</t>
  </si>
  <si>
    <t>구독 ID(행별 지정 시)</t>
  </si>
  <si>
    <t>비고</t>
  </si>
  <si>
    <t>_MT키</t>
  </si>
  <si>
    <t>_DT키</t>
  </si>
  <si>
    <t>_D목록</t>
  </si>
  <si>
    <t>_E목록</t>
  </si>
  <si>
    <t>_F목록</t>
  </si>
  <si>
    <t>_G목록</t>
  </si>
  <si>
    <t>_D검사</t>
  </si>
  <si>
    <t>_E검사</t>
  </si>
  <si>
    <t>_F검사</t>
  </si>
  <si>
    <t>_G검사</t>
  </si>
  <si>
    <t>_D목록키</t>
  </si>
  <si>
    <t>_E목록키</t>
  </si>
  <si>
    <t>_F목록키</t>
  </si>
  <si>
    <t>_G목록키</t>
  </si>
  <si>
    <t>자동화 입력 소스 포맷</t>
  </si>
  <si>
    <t>파일 규칙</t>
  </si>
  <si>
    <t>· 파일: .xlsx(이 템플릿) 또는 같은 헤더의 .csv(UTF-8)</t>
  </si>
  <si>
    <t>· 시트 이름: '요청목록'(요청 행), '공통정보'(모든 요청 공통값). 이름을 바꾸지 마세요.</t>
  </si>
  <si>
    <t>· 요청목록 헤더는 3행, 데이터는 4행부터. 도구는 헤더 이름으로 열을 찾으므로 열 순서는 바뀌어도 되지만 헤더 글자는 그대로 유지.</t>
  </si>
  <si>
    <t>· 1행 = 폼 1건. 실행=Y 행을 검토하고, 명시적인 제출 승인 후 전송.</t>
  </si>
  <si>
    <t>· 값 우선순위: 요청목록 행의 값 &gt; 공통정보 값 (예: 구독 ID)</t>
  </si>
  <si>
    <t>· 폼 선택값은 실행 시 실제 폼 목록과 다시 대조하며, 없거나 처리하지 못하는 질문이 나오면 그 행에서 멈추고 이유를 보고.</t>
  </si>
  <si>
    <t>· 선택 순서: Quota Type → Model Type → 배포 유형 → 폼 모델명 → Region(필요 시). 앞 칸을 바꾸면 뒤 칸을 다시 선택.</t>
  </si>
  <si>
    <t>· PTU(Provisioned) 수량: Azure OpenAI Global Provisioned는 '추가분만' 입력(총량 아님), TPM 요청은 기존+추가 총량</t>
  </si>
  <si>
    <t>필드 정의</t>
  </si>
  <si>
    <t>시트</t>
  </si>
  <si>
    <t>헤더/항목</t>
  </si>
  <si>
    <t>폼 질문</t>
  </si>
  <si>
    <t>필수</t>
  </si>
  <si>
    <t>형식·허용값</t>
  </si>
  <si>
    <t>예시</t>
  </si>
  <si>
    <t>도구 동작</t>
  </si>
  <si>
    <t>요청목록</t>
  </si>
  <si>
    <t>-</t>
  </si>
  <si>
    <t>예</t>
  </si>
  <si>
    <t>Y 또는 N</t>
  </si>
  <si>
    <t>Y</t>
  </si>
  <si>
    <t>N이면 건너뜀</t>
  </si>
  <si>
    <t>고유 문자열</t>
  </si>
  <si>
    <t>REQ-001</t>
  </si>
  <si>
    <t>결과·캡처 파일 이름</t>
  </si>
  <si>
    <t>11 Quota Type</t>
  </si>
  <si>
    <t>Model Deployment (PTU/RPM/TPM)</t>
  </si>
  <si>
    <t>다른 값은 현재 미지원 → 그 행에서 멈춤</t>
  </si>
  <si>
    <t>12 Model Type</t>
  </si>
  <si>
    <t>Azure OpenAI / Azure Direct Model (ADM) / Anthropic / Fireworks</t>
  </si>
  <si>
    <t>Azure Direct Model (ADM)</t>
  </si>
  <si>
    <t>선택 후 이어지는 질문을 폼에서 읽어 처리</t>
  </si>
  <si>
    <t>13 (Model Type) Quota Request Type</t>
  </si>
  <si>
    <t>Azure OpenAI 8종 / Azure Direct Model 5종 / Fireworks 4종 / Anthropic 미지원 (도구 지원: Global Standard, Data Zone Standard)</t>
  </si>
  <si>
    <t>Global Standard</t>
  </si>
  <si>
    <t>Provisioned·Batch 계열은 추가 질문 → 멈춤</t>
  </si>
  <si>
    <t>14 (배포 유형) Model</t>
  </si>
  <si>
    <t>폼 드롭다운 표기와 정확히 일치</t>
  </si>
  <si>
    <t>gpt-6-astra</t>
  </si>
  <si>
    <t>목록에 없으면 멈추고 비슷한 항목 제안</t>
  </si>
  <si>
    <t>15 Region 또는 Pool</t>
  </si>
  <si>
    <t>조건부</t>
  </si>
  <si>
    <t>Region 이름 또는 US/EUR/APAC</t>
  </si>
  <si>
    <t>East US 2</t>
  </si>
  <si>
    <t>폼이 물을 때만 입력, 안 물으면 '묻지 않음'으로 기록</t>
  </si>
  <si>
    <t>16 Quota</t>
  </si>
  <si>
    <t>양의 정수(TPM), 1000의 배수</t>
  </si>
  <si>
    <t>÷1000 해서 입력 (Azure OpenAI kTPM = ADM capacity unit)</t>
  </si>
  <si>
    <t>자동</t>
  </si>
  <si>
    <t>수식</t>
  </si>
  <si>
    <t>확인용(도구는 H열로 다시 계산)</t>
  </si>
  <si>
    <t>9 Subscription Id</t>
  </si>
  <si>
    <t>아니오</t>
  </si>
  <si>
    <t>GUID</t>
  </si>
  <si>
    <t>00000000-0000-0000-0000-000000000000</t>
  </si>
  <si>
    <t>있으면 공통정보 값 대신 사용</t>
  </si>
  <si>
    <t>자유 텍스트</t>
  </si>
  <si>
    <t>입력 안 함</t>
  </si>
  <si>
    <t>_MT키 ~ _G목록키 (L~Y열, 숨김)</t>
  </si>
  <si>
    <t>L_MD_ADM_GS</t>
  </si>
  <si>
    <t>연쇄 드롭다운 목록·빨간 표시 계산용. 지우거나 고치지 말 것(폼에 입력 안 함)</t>
  </si>
  <si>
    <t>폼 선택값</t>
  </si>
  <si>
    <t>L_* 이름 범위 · Keys_QT/MT/DT</t>
  </si>
  <si>
    <t>1열 = 목록 1개 (2행 이름, 3행 제목, 4행부터 값)</t>
  </si>
  <si>
    <t>연쇄 드롭다운 원본. 2행 이름으로 열을 찾고 4행부터 값 개수만큼 자동 표시(값을 추가해도 수식 수정 불필요)</t>
  </si>
  <si>
    <t>공통정보</t>
  </si>
  <si>
    <t>First Name ~ Company Country</t>
  </si>
  <si>
    <t>1~8</t>
  </si>
  <si>
    <t>자유 텍스트(이메일은 형식 검사)</t>
  </si>
  <si>
    <t>Example Corporation</t>
  </si>
  <si>
    <t>모든 요청에 같은 값 입력</t>
  </si>
  <si>
    <t>이름 형식은 폼이 거부</t>
  </si>
  <si>
    <t>문단</t>
  </si>
  <si>
    <t>(공통정보 B11 참고)</t>
  </si>
  <si>
    <t>모든 요청에 같은 문장 입력</t>
  </si>
  <si>
    <t>실행 순서</t>
  </si>
  <si>
    <t>① 점검 모드(제출 없이 입력·검증·화면 캡처)</t>
  </si>
  <si>
    <t>② 1건만 제출해 완료 화면 확인</t>
  </si>
  <si>
    <t>③ 나머지 제출</t>
  </si>
  <si>
    <t>색 표시</t>
  </si>
  <si>
    <t>노란색 칸</t>
  </si>
  <si>
    <t>실행 전에 채워야 하는 값 (요청목록 F열 빈칸, 공통정보 B열 빈칸)</t>
  </si>
  <si>
    <t>실제 폼 선택값 (2026-10-22 확인 · 실행 시 실제 폼과 다시 대조)</t>
  </si>
  <si>
    <t>L_QT</t>
  </si>
  <si>
    <t>L_MT_MD</t>
  </si>
  <si>
    <t>L_MT_FT</t>
  </si>
  <si>
    <t>L_MT_MC</t>
  </si>
  <si>
    <t>L_DT_AOAI</t>
  </si>
  <si>
    <t>L_DT_ADM</t>
  </si>
  <si>
    <t>L_DT_ANTH</t>
  </si>
  <si>
    <t>L_DT_FW</t>
  </si>
  <si>
    <t>L_MD_AOAI_GS</t>
  </si>
  <si>
    <t>L_RG_AOAI_GS</t>
  </si>
  <si>
    <t>L_MD_AOAI_GB</t>
  </si>
  <si>
    <t>L_RG_AOAI_GB</t>
  </si>
  <si>
    <t>L_MD_AOAI_GP</t>
  </si>
  <si>
    <t>L_RG_AOAI_GP</t>
  </si>
  <si>
    <t>L_MD_AOAI_DZS</t>
  </si>
  <si>
    <t>L_RG_AOAI_DZS</t>
  </si>
  <si>
    <t>L_MD_AOAI_DZB</t>
  </si>
  <si>
    <t>L_RG_AOAI_DZB</t>
  </si>
  <si>
    <t>L_MD_AOAI_DZP</t>
  </si>
  <si>
    <t>L_RG_AOAI_DZP</t>
  </si>
  <si>
    <t>L_MD_AOAI_STD</t>
  </si>
  <si>
    <t>L_RG_AOAI_STD</t>
  </si>
  <si>
    <t>L_MD_AOAI_PTU</t>
  </si>
  <si>
    <t>L_RG_AOAI_PTU</t>
  </si>
  <si>
    <t>L_MD_FW_GS</t>
  </si>
  <si>
    <t>L_RG_FW_GS</t>
  </si>
  <si>
    <t>L_MD_FW_DZS</t>
  </si>
  <si>
    <t>L_RG_FW_DZS</t>
  </si>
  <si>
    <t>L_MD_FW_GP</t>
  </si>
  <si>
    <t>L_RG_FW_GP</t>
  </si>
  <si>
    <t>L_MD_FW_DZP</t>
  </si>
  <si>
    <t>L_RG_FW_DZP</t>
  </si>
  <si>
    <t>L_RG_ADM_GS</t>
  </si>
  <si>
    <t>L_MD_ADM_DZS</t>
  </si>
  <si>
    <t>L_RG_ADM_DZS</t>
  </si>
  <si>
    <t>L_MD_ADM_PTU</t>
  </si>
  <si>
    <t>L_RG_ADM_PTU</t>
  </si>
  <si>
    <t>L_MD_ADM_GP</t>
  </si>
  <si>
    <t>L_RG_ADM_GP</t>
  </si>
  <si>
    <t>L_MD_ADM_DZP</t>
  </si>
  <si>
    <t>L_RG_ADM_DZP</t>
  </si>
  <si>
    <t>L_NA</t>
  </si>
  <si>
    <t>Keys_QT</t>
  </si>
  <si>
    <t>Keys_MT</t>
  </si>
  <si>
    <t>Keys_DT</t>
  </si>
  <si>
    <t>Quota Type</t>
  </si>
  <si>
    <t>Model Type (Model Deployment)</t>
  </si>
  <si>
    <t>Model Type (Fine-tuning)</t>
  </si>
  <si>
    <t>Model Type (Managed Compute)</t>
  </si>
  <si>
    <t>배포 유형 · Azure OpenAI</t>
  </si>
  <si>
    <t>배포 유형 · Azure Direct Model</t>
  </si>
  <si>
    <t>배포 유형 · Anthropic</t>
  </si>
  <si>
    <t>배포 유형 · Fireworks</t>
  </si>
  <si>
    <t>모델 · Azure OpenAI · Global Standard</t>
  </si>
  <si>
    <t>Region · Azure OpenAI · Global Standard</t>
  </si>
  <si>
    <t>모델 · Azure OpenAI · Global Batch</t>
  </si>
  <si>
    <t>Region · Azure OpenAI · Global Batch</t>
  </si>
  <si>
    <t>모델+버전 · Azure OpenAI · Global Provisioned</t>
  </si>
  <si>
    <t>Region · Azure OpenAI · Global Provisioned</t>
  </si>
  <si>
    <t>모델 · Azure OpenAI · Data Zone Standard</t>
  </si>
  <si>
    <t>Pool · Azure OpenAI · Data Zone Standard</t>
  </si>
  <si>
    <t>모델 · Azure OpenAI · Data Zone Batch</t>
  </si>
  <si>
    <t>Region · Azure OpenAI · Data Zone Batch</t>
  </si>
  <si>
    <t>모델+버전 · Azure OpenAI · Data Zone Provisioned</t>
  </si>
  <si>
    <t>Pool · Azure OpenAI · Data Zone Provisioned</t>
  </si>
  <si>
    <t>모델 · Azure OpenAI · Standard</t>
  </si>
  <si>
    <t>Region · Azure OpenAI · Standard</t>
  </si>
  <si>
    <t>모델+버전 · Azure OpenAI · Provisioned</t>
  </si>
  <si>
    <t>Region · Azure OpenAI · Provisioned</t>
  </si>
  <si>
    <t>모델 · Fireworks · Global Standard</t>
  </si>
  <si>
    <t>Region · Fireworks · Global Standard</t>
  </si>
  <si>
    <t>모델 · Fireworks · Data Zone Standard</t>
  </si>
  <si>
    <t>Region · Fireworks · Data Zone Standard</t>
  </si>
  <si>
    <t>모델 · Fireworks · Global Provisioned</t>
  </si>
  <si>
    <t>Region · Fireworks · Global Provisioned</t>
  </si>
  <si>
    <t>모델 · Fireworks · Data Zone Provisioned</t>
  </si>
  <si>
    <t>Region · Fireworks · Data Zone Provisioned</t>
  </si>
  <si>
    <t>모델 · ADM · Global Standard</t>
  </si>
  <si>
    <t>Region · ADM · Global Standard</t>
  </si>
  <si>
    <t>모델 · ADM · Data Zone Standard</t>
  </si>
  <si>
    <t>Pool · ADM · Data Zone Standard</t>
  </si>
  <si>
    <t>모델 · ADM · Provisioned</t>
  </si>
  <si>
    <t>Region · ADM · Provisioned</t>
  </si>
  <si>
    <t>모델 · ADM · Global Provisioned</t>
  </si>
  <si>
    <t>Region · ADM · Global Provisioned</t>
  </si>
  <si>
    <t>모델 · ADM · Data Zone Provisioned</t>
  </si>
  <si>
    <t>Region · ADM · Data Zone Provisioned</t>
  </si>
  <si>
    <t>(선택 전 안내)</t>
  </si>
  <si>
    <t>Quota Type 표시값</t>
  </si>
  <si>
    <t>키</t>
  </si>
  <si>
    <t>Model Type 표시값</t>
  </si>
  <si>
    <t>배포 유형 표시값</t>
  </si>
  <si>
    <t>(도구 미지원)</t>
  </si>
  <si>
    <t>(Anthropic은 호스팅 옵션 질문이 먼저 나와 도구 미지원)</t>
  </si>
  <si>
    <t>gpt-6.1-sol</t>
  </si>
  <si>
    <t>Australia East</t>
  </si>
  <si>
    <t>(리전을 고른 뒤 폼에 목록 표시 · 확인 중)</t>
  </si>
  <si>
    <t>Canada East</t>
  </si>
  <si>
    <t>gpt-6-astra 2026-09-03</t>
  </si>
  <si>
    <t>US</t>
  </si>
  <si>
    <t>Central US</t>
  </si>
  <si>
    <t>gpt-4.1</t>
  </si>
  <si>
    <t>(이 유형은 폼에 모델 질문 없음)</t>
  </si>
  <si>
    <t>(이 유형은 폼에 Region 질문 없음)</t>
  </si>
  <si>
    <t>(목록 확인 중 · 직접 입력 가능)</t>
  </si>
  <si>
    <t>MAI-Transcribe-2-Streaming</t>
  </si>
  <si>
    <t>Microsoft-Decision-1</t>
  </si>
  <si>
    <t>(먼저 앞 칸을 선택하세요)</t>
  </si>
  <si>
    <t>MD</t>
  </si>
  <si>
    <t>Azure OpenAI</t>
  </si>
  <si>
    <t>AOAI</t>
  </si>
  <si>
    <t>GS</t>
  </si>
  <si>
    <t>Fine-tuning</t>
  </si>
  <si>
    <t>Global Batch</t>
  </si>
  <si>
    <t>Data Zone Standard</t>
  </si>
  <si>
    <t>gpt-live-1</t>
  </si>
  <si>
    <t>Brazil South</t>
  </si>
  <si>
    <t>gpt-6-sol 2026-09-22</t>
  </si>
  <si>
    <t>gpt-6-luna</t>
  </si>
  <si>
    <t>EUR</t>
  </si>
  <si>
    <t>East US</t>
  </si>
  <si>
    <t>gpt-4-turbo</t>
  </si>
  <si>
    <t>grok-4</t>
  </si>
  <si>
    <t>FT</t>
  </si>
  <si>
    <t>ADM</t>
  </si>
  <si>
    <t>GB</t>
  </si>
  <si>
    <t>Managed Compute (GPU Accelerators such as A100, H100, H200, MI300)</t>
  </si>
  <si>
    <t>Anthropic</t>
  </si>
  <si>
    <t>Global Provisioned</t>
  </si>
  <si>
    <t>Provisioned</t>
  </si>
  <si>
    <t>gpt-5.5 2026-04-24</t>
  </si>
  <si>
    <t>Canada Central</t>
  </si>
  <si>
    <t>gpt-6-sol</t>
  </si>
  <si>
    <t>APAC</t>
  </si>
  <si>
    <t>gpt-4o</t>
  </si>
  <si>
    <t>Cohere-Embed-V5-Fast</t>
  </si>
  <si>
    <t>mistral-document-ai-2505</t>
  </si>
  <si>
    <t>MC</t>
  </si>
  <si>
    <t>ANTH</t>
  </si>
  <si>
    <t>GP</t>
  </si>
  <si>
    <t>Fireworks</t>
  </si>
  <si>
    <t>Data Zone Provisioned</t>
  </si>
  <si>
    <t>gpt-5.4 2026-03-05</t>
  </si>
  <si>
    <t>France Central</t>
  </si>
  <si>
    <t>gpt-4o-mini</t>
  </si>
  <si>
    <t>Cohere-Embed-V5-Pro</t>
  </si>
  <si>
    <t>Mistral-Large-3</t>
  </si>
  <si>
    <t>FW</t>
  </si>
  <si>
    <t>DZS</t>
  </si>
  <si>
    <t>Data Zone Batch</t>
  </si>
  <si>
    <t>gpt-image-2.5-sunburst</t>
  </si>
  <si>
    <t>North Central US</t>
  </si>
  <si>
    <t>gpt-5.4-mini 2026-03-17</t>
  </si>
  <si>
    <t>gpt-5.6-sol</t>
  </si>
  <si>
    <t>Germany West Central</t>
  </si>
  <si>
    <t>gpt4.1-finetune</t>
  </si>
  <si>
    <t>DeepSeek-V4.1-Flash</t>
  </si>
  <si>
    <t>mistral-document-ai-2512</t>
  </si>
  <si>
    <t>DZB</t>
  </si>
  <si>
    <t>gpt-image-2.5-flare</t>
  </si>
  <si>
    <t>South Central US</t>
  </si>
  <si>
    <t>gpt-5.3-codex 2026-02-24</t>
  </si>
  <si>
    <t>gpt-5.6-luna</t>
  </si>
  <si>
    <t>gpt4.1-mini-finetune</t>
  </si>
  <si>
    <t>DeepSeek-V4-Flash-0731</t>
  </si>
  <si>
    <t>FLUX.2-pro</t>
  </si>
  <si>
    <t>DZP</t>
  </si>
  <si>
    <t>Standard</t>
  </si>
  <si>
    <t>Sweden Central</t>
  </si>
  <si>
    <t>gpt-5.2 2025-12-11</t>
  </si>
  <si>
    <t>gpt-5.6-terra</t>
  </si>
  <si>
    <t>Poland Central</t>
  </si>
  <si>
    <t>gpt4.1-nano-finetune</t>
  </si>
  <si>
    <t>DeepSeek-V4-Flash</t>
  </si>
  <si>
    <t>STD</t>
  </si>
  <si>
    <t>West US</t>
  </si>
  <si>
    <t>gpt-5.2-codex 2026-01-14</t>
  </si>
  <si>
    <t>gpt-5.4-mini</t>
  </si>
  <si>
    <t>tts</t>
  </si>
  <si>
    <t>DeepSeek-V4-Pro</t>
  </si>
  <si>
    <t>PTU</t>
  </si>
  <si>
    <t>Italy North</t>
  </si>
  <si>
    <t>West US 3</t>
  </si>
  <si>
    <t>gpt-5.1 2025-11-13</t>
  </si>
  <si>
    <t>gpt-5.2</t>
  </si>
  <si>
    <t>Spain Central</t>
  </si>
  <si>
    <t>tts-hd</t>
  </si>
  <si>
    <t>Japan East</t>
  </si>
  <si>
    <t>DeepSeek-V3.2-Speciale</t>
  </si>
  <si>
    <t>mistral-ocr-4-0</t>
  </si>
  <si>
    <t>gpt-5.1-codex 2025-11-13</t>
  </si>
  <si>
    <t>gpt-5.1</t>
  </si>
  <si>
    <t>whisper</t>
  </si>
  <si>
    <t>Korea Central</t>
  </si>
  <si>
    <t>DeepSeek-V3.2</t>
  </si>
  <si>
    <t>grok-4.3</t>
  </si>
  <si>
    <t>gpt-image-2</t>
  </si>
  <si>
    <t>gpt-5 2025-08-07</t>
  </si>
  <si>
    <t>gpt-5-mini</t>
  </si>
  <si>
    <t>text-embedding-ada-002</t>
  </si>
  <si>
    <t>Japan West</t>
  </si>
  <si>
    <t>Cohere-Rerank-V4-Fast</t>
  </si>
  <si>
    <t>West Europe</t>
  </si>
  <si>
    <t>gpt-5.4-nano</t>
  </si>
  <si>
    <t>gpt-5-mini 2025-08-07</t>
  </si>
  <si>
    <t>gpt-5-nano</t>
  </si>
  <si>
    <t>text-embedding-3-small</t>
  </si>
  <si>
    <t>Norway East</t>
  </si>
  <si>
    <t>FLUX-1.1-pro</t>
  </si>
  <si>
    <t>gpt-4.1 2025-04-14</t>
  </si>
  <si>
    <t>gpt4.1</t>
  </si>
  <si>
    <t>text-embedding-3-large</t>
  </si>
  <si>
    <t>FLUX.1-Kontext-pro</t>
  </si>
  <si>
    <t>gpt-5.4-pro</t>
  </si>
  <si>
    <t>gpt-4.1-mini 2025-04-14</t>
  </si>
  <si>
    <t>gpt4.1-mini</t>
  </si>
  <si>
    <t>gpt-4o-finetune</t>
  </si>
  <si>
    <t>gpt-oss-120b</t>
  </si>
  <si>
    <t>gpt-5.4</t>
  </si>
  <si>
    <t>gpt-4.1-nano 2025-04-14</t>
  </si>
  <si>
    <t>South Africa North</t>
  </si>
  <si>
    <t>gpt4.1-nano</t>
  </si>
  <si>
    <t>gpt-4o-mini-finetune</t>
  </si>
  <si>
    <t>South India</t>
  </si>
  <si>
    <t>Llama-3.3-70B-Instruct</t>
  </si>
  <si>
    <t>gpt-5.3-codex</t>
  </si>
  <si>
    <t>gpt-4o 2024-11-20</t>
  </si>
  <si>
    <t>o1-mini</t>
  </si>
  <si>
    <t>Llama-4-Maverick-17B-128E-Instruct-FP8</t>
  </si>
  <si>
    <t>gpt-5.2-codex</t>
  </si>
  <si>
    <t>gpt-4o 2024-08-06</t>
  </si>
  <si>
    <t>gpt-4o 2024-05-13</t>
  </si>
  <si>
    <t>o4-mini</t>
  </si>
  <si>
    <t>Switzerland North</t>
  </si>
  <si>
    <t>Embed-V-4-0</t>
  </si>
  <si>
    <t>Southeast Asia</t>
  </si>
  <si>
    <t>gpt-4o-mini 2024-07-18</t>
  </si>
  <si>
    <t>gpt-realtime-2.1</t>
  </si>
  <si>
    <t>Switzerland West</t>
  </si>
  <si>
    <t>gpt-5.1-chat</t>
  </si>
  <si>
    <t>o3 2025-04-16</t>
  </si>
  <si>
    <t>gpt-realtime-2.1-mini</t>
  </si>
  <si>
    <t>UK South</t>
  </si>
  <si>
    <t>Cohere-Rerank-V4-Pro</t>
  </si>
  <si>
    <t>gpt-5.1-codex</t>
  </si>
  <si>
    <t>o3-mini 2025-01-31</t>
  </si>
  <si>
    <t>Kimi-K2-Thinking</t>
  </si>
  <si>
    <t>gpt-5.1-codex-mini</t>
  </si>
  <si>
    <t>UAE North</t>
  </si>
  <si>
    <t>o4-mini 2025-04-16</t>
  </si>
  <si>
    <t>Kimi-K2.5</t>
  </si>
  <si>
    <t>gpt-5.1-codex-max</t>
  </si>
  <si>
    <t>gpt-5.6-sol 2026-07-09</t>
  </si>
  <si>
    <t>gpt-5.5</t>
  </si>
  <si>
    <t>gpt-5.6-terra 2026-07-09</t>
  </si>
  <si>
    <t>FLUX.2-flex</t>
  </si>
  <si>
    <t>gpt-5-codex</t>
  </si>
  <si>
    <t>gpt-5.6-luna 2026-07-09</t>
  </si>
  <si>
    <t>South East Asia</t>
  </si>
  <si>
    <t>West US 2</t>
  </si>
  <si>
    <t>gpt-image-2 2026-04-21</t>
  </si>
  <si>
    <t>grok-4-1-fast-reasoning</t>
  </si>
  <si>
    <t>gpt-5-chat</t>
  </si>
  <si>
    <t>Central India</t>
  </si>
  <si>
    <t>gpt-realtime-1.5</t>
  </si>
  <si>
    <t>grok-4-1-fast-non-reasoning</t>
  </si>
  <si>
    <t>East Asia</t>
  </si>
  <si>
    <t>gpt-5.4-2026-03-05-contextcache</t>
  </si>
  <si>
    <t>grok-4-20-reasoning</t>
  </si>
  <si>
    <t>Jio India Central</t>
  </si>
  <si>
    <t>grok-4-20-non-reasoning</t>
  </si>
  <si>
    <t>Jio India West</t>
  </si>
  <si>
    <t>Kimi-K2.6</t>
  </si>
  <si>
    <t>North Europe</t>
  </si>
  <si>
    <t>MAI-Image-2.5</t>
  </si>
  <si>
    <t>Qatar Central</t>
  </si>
  <si>
    <t>gpt-image-1</t>
  </si>
  <si>
    <t>mistral-medium-3-5</t>
  </si>
  <si>
    <t>gpt-image-1-mini</t>
  </si>
  <si>
    <t>Kimi-K2.7-Code</t>
  </si>
  <si>
    <t>MAI-Image-2.5-Flash</t>
  </si>
  <si>
    <t>codex-mini</t>
  </si>
  <si>
    <t>grok-4.7</t>
  </si>
  <si>
    <t>gpt-audio-1.5</t>
  </si>
  <si>
    <t>grok-4.6</t>
  </si>
  <si>
    <t>gpt-4o-realtime-preview</t>
  </si>
  <si>
    <t>MAI-Thinking-1</t>
  </si>
  <si>
    <t>gpt-4o-audio-preview</t>
  </si>
  <si>
    <t>MAI-Cyber-1-Flash</t>
  </si>
  <si>
    <t>gpt-4o-mini-realtime-preview</t>
  </si>
  <si>
    <t>MAI-Image-2.5-Pro</t>
  </si>
  <si>
    <t>gpt-4o-mini-audio-preview</t>
  </si>
  <si>
    <t>Cohere-parse-v5</t>
  </si>
  <si>
    <t>gpt-realtime</t>
  </si>
  <si>
    <t>MAI-Image-2.6</t>
  </si>
  <si>
    <t>gpt-4o-mini-tts</t>
  </si>
  <si>
    <t>MAI-Image-2.6-Flash</t>
  </si>
  <si>
    <t>Cohere-rerank-v4.0-fast</t>
  </si>
  <si>
    <t>gpt-4o-transcribe</t>
  </si>
  <si>
    <t>gpt-4o-mini-transcribe</t>
  </si>
  <si>
    <t>gpt-audio</t>
  </si>
  <si>
    <t>gpt-5-pro</t>
  </si>
  <si>
    <t>gpt-4.5</t>
  </si>
  <si>
    <t>gpt-audio-mini</t>
  </si>
  <si>
    <t>gpt-5.3-chat</t>
  </si>
  <si>
    <t>gpt-chat-latest</t>
  </si>
  <si>
    <t>gpt-realtime-translate</t>
  </si>
  <si>
    <t>gpt-realtime-whisper</t>
  </si>
  <si>
    <t>gpt-4o-transcribe-diarize</t>
  </si>
  <si>
    <t>gpt-5-reasoning-alpha</t>
  </si>
  <si>
    <t>gpt-5.3-codex-preview</t>
  </si>
  <si>
    <t>gpt-transcribe</t>
  </si>
  <si>
    <t>gpt-live-transcribe</t>
  </si>
  <si>
    <t>gpt-4.1-mini</t>
  </si>
  <si>
    <t>gpt-4.1-nano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</si>
</sst>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sz val="10"/>
      <color theme="1"/>
      <name val="Malgun Gothic"/>
    </font>
    <font>
      <b/>
      <sz val="10"/>
      <color theme="1"/>
      <name val="Malgun Gothic"/>
    </font>
    <font>
      <b/>
      <sz val="16"/>
      <color rgb="FF004578"/>
      <name val="Malgun Gothic"/>
    </font>
    <font>
      <sz val="10"/>
      <color rgb="FF004578"/>
      <name val="Malgun Gothic"/>
    </font>
    <font>
      <b/>
      <sz val="10"/>
      <color rgb="FFFFFFFF"/>
      <name val="Malgun Gothic"/>
    </font>
    <font>
      <sz val="10"/>
      <color rgb="FF595959"/>
      <name val="Malgun Gothic"/>
    </font>
    <font>
      <b/>
      <sz val="11"/>
      <color rgb="FF005A9E"/>
      <name val="Malgun Gothic"/>
    </font>
    <font>
      <b/>
      <sz val="14"/>
      <color rgb="FF004578"/>
      <name val="Malgun Gothic"/>
    </font>
    <font>
      <sz val="10"/>
      <color rgb="FF000000"/>
      <name val="Malgun Gothic"/>
    </font>
    <font>
      <sz val="8"/>
      <color rgb="FF808080"/>
      <name val="Malgun Gothic"/>
    </font>
    <font>
      <sz val="8"/>
      <name val="맑은 고딕"/>
      <family val="3"/>
      <charset val="129"/>
      <scheme val="minor"/>
    </font>
    <font>
      <b/>
      <sz val="10"/>
      <color rgb="FFFFFFFF"/>
      <name val="Malgun Gothic"/>
      <family val="2"/>
      <charset val="129"/>
    </font>
    <font>
      <sz val="10"/>
      <color theme="1"/>
      <name val="Malgun Gothic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DEECF9"/>
        <bgColor indexed="64"/>
      </patternFill>
    </fill>
    <fill>
      <patternFill patternType="solid">
        <fgColor rgb="FF005A9E"/>
        <bgColor indexed="64"/>
      </patternFill>
    </fill>
    <fill>
      <patternFill patternType="solid">
        <fgColor rgb="FFEFF6FC"/>
        <bgColor indexed="64"/>
      </patternFill>
    </fill>
    <fill>
      <patternFill patternType="solid">
        <fgColor rgb="FFFFF2CC"/>
        <bgColor indexed="64"/>
      </patternFill>
    </fill>
  </fills>
  <borders count="20">
    <border>
      <left/>
      <right/>
      <top/>
      <bottom/>
      <diagonal/>
    </border>
    <border>
      <left style="thin">
        <color rgb="FFC7E0F4"/>
      </left>
      <right style="thin">
        <color rgb="FFC7E0F4"/>
      </right>
      <top/>
      <bottom style="thin">
        <color rgb="FFC7E0F4"/>
      </bottom>
      <diagonal/>
    </border>
    <border>
      <left style="thin">
        <color rgb="FFC7E0F4"/>
      </left>
      <right style="thin">
        <color rgb="FFC7E0F4"/>
      </right>
      <top style="thin">
        <color rgb="FFC7E0F4"/>
      </top>
      <bottom style="thin">
        <color rgb="FFC7E0F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C7E0F4"/>
      </left>
      <right/>
      <top style="thin">
        <color rgb="FFC7E0F4"/>
      </top>
      <bottom style="thin">
        <color rgb="FFC7E0F4"/>
      </bottom>
      <diagonal/>
    </border>
    <border>
      <left/>
      <right style="thin">
        <color rgb="FFC7E0F4"/>
      </right>
      <top style="thin">
        <color rgb="FFC7E0F4"/>
      </top>
      <bottom style="thin">
        <color rgb="FFC7E0F4"/>
      </bottom>
      <diagonal/>
    </border>
    <border>
      <left style="thin">
        <color rgb="FFC7E0F4"/>
      </left>
      <right style="thin">
        <color rgb="FFC7E0F4"/>
      </right>
      <top style="thin">
        <color rgb="FFC7E0F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3" fontId="1" fillId="4" borderId="2" xfId="0" applyNumberFormat="1" applyFont="1" applyFill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3" fontId="6" fillId="4" borderId="2" xfId="0" applyNumberFormat="1" applyFont="1" applyFill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/>
    </xf>
    <xf numFmtId="0" fontId="2" fillId="4" borderId="2" xfId="0" applyFont="1" applyFill="1" applyBorder="1" applyAlignment="1">
      <alignment vertical="top"/>
    </xf>
    <xf numFmtId="49" fontId="1" fillId="0" borderId="2" xfId="0" applyNumberFormat="1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/>
    <xf numFmtId="0" fontId="10" fillId="0" borderId="0" xfId="0" applyFont="1"/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4" borderId="8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vertical="center"/>
    </xf>
    <xf numFmtId="0" fontId="9" fillId="4" borderId="12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4" borderId="15" xfId="0" applyFont="1" applyFill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3" fontId="1" fillId="0" borderId="18" xfId="0" applyNumberFormat="1" applyFont="1" applyBorder="1" applyAlignment="1">
      <alignment horizontal="right" vertical="center"/>
    </xf>
    <xf numFmtId="3" fontId="1" fillId="4" borderId="18" xfId="0" applyNumberFormat="1" applyFont="1" applyFill="1" applyBorder="1" applyAlignment="1">
      <alignment horizontal="right" vertical="center"/>
    </xf>
    <xf numFmtId="0" fontId="1" fillId="4" borderId="19" xfId="0" applyFont="1" applyFill="1" applyBorder="1" applyAlignment="1">
      <alignment vertical="center"/>
    </xf>
    <xf numFmtId="0" fontId="5" fillId="3" borderId="1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49" fontId="13" fillId="5" borderId="2" xfId="0" applyNumberFormat="1" applyFont="1" applyFill="1" applyBorder="1" applyAlignment="1">
      <alignment vertical="center"/>
    </xf>
    <xf numFmtId="0" fontId="4" fillId="2" borderId="14" xfId="0" applyFont="1" applyFill="1" applyBorder="1" applyAlignment="1">
      <alignment horizontal="left" vertical="center" wrapText="1"/>
    </xf>
    <xf numFmtId="0" fontId="0" fillId="0" borderId="14" xfId="0" applyBorder="1"/>
    <xf numFmtId="0" fontId="3" fillId="0" borderId="0" xfId="0" applyFont="1" applyAlignment="1">
      <alignment vertical="center"/>
    </xf>
    <xf numFmtId="0" fontId="0" fillId="0" borderId="0" xfId="0"/>
    <xf numFmtId="0" fontId="8" fillId="0" borderId="0" xfId="0" applyFont="1" applyAlignment="1">
      <alignment horizontal="left" vertical="center"/>
    </xf>
  </cellXfs>
  <cellStyles count="1">
    <cellStyle name="표준" xfId="0" builtinId="0"/>
  </cellStyles>
  <dxfs count="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"/>
  <sheetViews>
    <sheetView tabSelected="1" workbookViewId="0">
      <pane ySplit="3" topLeftCell="A4" activePane="bottomLeft" state="frozen"/>
      <selection pane="bottomLeft" activeCell="H4" sqref="H4"/>
    </sheetView>
  </sheetViews>
  <sheetFormatPr defaultRowHeight="17"/>
  <cols>
    <col min="1" max="2" width="10.75" customWidth="1"/>
    <col min="3" max="3" width="32.75" customWidth="1"/>
    <col min="4" max="4" width="25.75" customWidth="1"/>
    <col min="5" max="5" width="22.75" customWidth="1"/>
    <col min="6" max="6" width="40.75" customWidth="1"/>
    <col min="7" max="7" width="21.75" customWidth="1"/>
    <col min="8" max="8" width="15.75" customWidth="1"/>
    <col min="9" max="9" width="14.75" customWidth="1"/>
    <col min="10" max="10" width="39.75" customWidth="1"/>
    <col min="11" max="11" width="84.75" customWidth="1"/>
    <col min="12" max="25" width="0" hidden="1"/>
  </cols>
  <sheetData>
    <row r="1" spans="1:25" ht="30" customHeight="1">
      <c r="A1" s="63" t="s">
        <v>25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25" ht="36" customHeight="1">
      <c r="A2" s="61" t="s">
        <v>26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25" ht="45.75" customHeight="1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31" t="s">
        <v>38</v>
      </c>
      <c r="M3" s="31" t="s">
        <v>39</v>
      </c>
      <c r="N3" s="31" t="s">
        <v>40</v>
      </c>
      <c r="O3" s="31" t="s">
        <v>41</v>
      </c>
      <c r="P3" s="31" t="s">
        <v>42</v>
      </c>
      <c r="Q3" s="31" t="s">
        <v>43</v>
      </c>
      <c r="R3" s="31" t="s">
        <v>44</v>
      </c>
      <c r="S3" s="31" t="s">
        <v>45</v>
      </c>
      <c r="T3" s="31" t="s">
        <v>46</v>
      </c>
      <c r="U3" s="31" t="s">
        <v>47</v>
      </c>
      <c r="V3" s="31" t="s">
        <v>48</v>
      </c>
      <c r="W3" s="31" t="s">
        <v>49</v>
      </c>
      <c r="X3" s="31" t="s">
        <v>50</v>
      </c>
      <c r="Y3" s="31" t="s">
        <v>51</v>
      </c>
    </row>
    <row r="4" spans="1:25" ht="32.25" customHeight="1">
      <c r="A4" s="6"/>
      <c r="B4" s="6"/>
      <c r="C4" s="3"/>
      <c r="D4" s="3"/>
      <c r="E4" s="3"/>
      <c r="F4" s="3"/>
      <c r="G4" s="3"/>
      <c r="H4" s="9"/>
      <c r="I4" s="12" t="str">
        <f t="shared" ref="I4:I47" si="0">IF(H4="","",H4/1000)</f>
        <v/>
      </c>
      <c r="J4" s="3"/>
      <c r="K4" s="27"/>
      <c r="L4" s="31" t="str">
        <f t="shared" ref="L4:L47" si="1">_xlfn.IFNA(VLOOKUP($D4,Keys_MT,2,FALSE),"NA")</f>
        <v>NA</v>
      </c>
      <c r="M4" s="31" t="str">
        <f t="shared" ref="M4:M47" si="2">_xlfn.IFNA(VLOOKUP($E4,Keys_DT,2,FALSE),"NA")</f>
        <v>NA</v>
      </c>
      <c r="N4" s="31" t="str">
        <f t="shared" ref="N4:N47" si="3">"'폼 선택값'!"&amp;ADDRESS(4,MATCH($V4,Cascade_Keys,0))&amp;":"&amp;ADDRESS(3+COUNTA(INDEX(Cascade_Body,0,MATCH($V4,Cascade_Keys,0))),MATCH($V4,Cascade_Keys,0))</f>
        <v>'폼 선택값'!$AQ$4:$AQ$4</v>
      </c>
      <c r="O4" s="31" t="str">
        <f t="shared" ref="O4:O47" si="4">"'폼 선택값'!"&amp;ADDRESS(4,MATCH($W4,Cascade_Keys,0))&amp;":"&amp;ADDRESS(3+COUNTA(INDEX(Cascade_Body,0,MATCH($W4,Cascade_Keys,0))),MATCH($W4,Cascade_Keys,0))</f>
        <v>'폼 선택값'!$AQ$4:$AQ$4</v>
      </c>
      <c r="P4" s="31" t="str">
        <f t="shared" ref="P4:P47" si="5">"'폼 선택값'!"&amp;ADDRESS(4,MATCH($X4,Cascade_Keys,0))&amp;":"&amp;ADDRESS(3+COUNTA(INDEX(Cascade_Body,0,MATCH($X4,Cascade_Keys,0))),MATCH($X4,Cascade_Keys,0))</f>
        <v>'폼 선택값'!$AQ$4:$AQ$4</v>
      </c>
      <c r="Q4" s="31" t="str">
        <f t="shared" ref="Q4:Q47" si="6">"'폼 선택값'!"&amp;ADDRESS(4,MATCH($Y4,Cascade_Keys,0))&amp;":"&amp;ADDRESS(3+COUNTA(INDEX(Cascade_Body,0,MATCH($Y4,Cascade_Keys,0))),MATCH($Y4,Cascade_Keys,0))</f>
        <v>'폼 선택값'!$AQ$4:$AQ$4</v>
      </c>
      <c r="R4" s="31" t="str">
        <f t="shared" ref="R4:R47" si="7">IF(OR(D4="",LEFT(INDEX(Cascade_Body,1,MATCH($V4,Cascade_Keys,0)),1)="(",ISNUMBER(MATCH(D4,INDEX(Cascade_Body,0,MATCH($V4,Cascade_Keys,0)),0))),D4&amp;"","※목록에 없음")</f>
        <v/>
      </c>
      <c r="S4" s="31" t="str">
        <f t="shared" ref="S4:S47" si="8">IF(OR(E4="",LEFT(INDEX(Cascade_Body,1,MATCH($W4,Cascade_Keys,0)),1)="(",ISNUMBER(MATCH(E4,INDEX(Cascade_Body,0,MATCH($W4,Cascade_Keys,0)),0))),E4&amp;"","※목록에 없음")</f>
        <v/>
      </c>
      <c r="T4" s="31" t="str">
        <f t="shared" ref="T4:T47" si="9">IF(OR(F4="",LEFT(INDEX(Cascade_Body,1,MATCH($X4,Cascade_Keys,0)),1)="(",ISNUMBER(MATCH(F4,INDEX(Cascade_Body,0,MATCH($X4,Cascade_Keys,0)),0))),F4&amp;"","※목록에 없음")</f>
        <v/>
      </c>
      <c r="U4" s="31" t="str">
        <f t="shared" ref="U4:U47" si="10">IF(OR(G4="",LEFT(INDEX(Cascade_Body,1,MATCH($Y4,Cascade_Keys,0)),1)="(",ISNUMBER(MATCH(G4,INDEX(Cascade_Body,0,MATCH($Y4,Cascade_Keys,0)),0))),G4&amp;"","※목록에 없음")</f>
        <v/>
      </c>
      <c r="V4" s="31" t="str">
        <f t="shared" ref="V4:V47" si="11">_xlfn.IFNA("L_MT_"&amp;VLOOKUP($C4,Keys_QT,2,FALSE),"L_NA")</f>
        <v>L_NA</v>
      </c>
      <c r="W4" s="31" t="str">
        <f t="shared" ref="W4:W47" si="12">IF(ISNUMBER(MATCH("L_DT_"&amp;$L4,Cascade_Keys,0)),"L_DT_"&amp;$L4,"L_NA")</f>
        <v>L_NA</v>
      </c>
      <c r="X4" s="31" t="str">
        <f t="shared" ref="X4:X47" si="13">IF(ISNUMBER(MATCH("L_MD_"&amp;$L4&amp;"_"&amp;$M4,Cascade_Keys,0)),"L_MD_"&amp;$L4&amp;"_"&amp;$M4,"L_NA")</f>
        <v>L_NA</v>
      </c>
      <c r="Y4" s="31" t="str">
        <f t="shared" ref="Y4:Y47" si="14">IF(ISNUMBER(MATCH("L_RG_"&amp;$L4&amp;"_"&amp;$M4,Cascade_Keys,0)),"L_RG_"&amp;$L4&amp;"_"&amp;$M4,"L_NA")</f>
        <v>L_NA</v>
      </c>
    </row>
    <row r="5" spans="1:25" ht="32.25" customHeight="1">
      <c r="A5" s="7"/>
      <c r="B5" s="7"/>
      <c r="C5" s="5"/>
      <c r="D5" s="5"/>
      <c r="E5" s="5"/>
      <c r="F5" s="5"/>
      <c r="G5" s="5"/>
      <c r="H5" s="10"/>
      <c r="I5" s="13" t="str">
        <f t="shared" si="0"/>
        <v/>
      </c>
      <c r="J5" s="5"/>
      <c r="K5" s="28"/>
      <c r="L5" s="31" t="str">
        <f t="shared" si="1"/>
        <v>NA</v>
      </c>
      <c r="M5" s="31" t="str">
        <f t="shared" si="2"/>
        <v>NA</v>
      </c>
      <c r="N5" s="31" t="str">
        <f t="shared" si="3"/>
        <v>'폼 선택값'!$AQ$4:$AQ$4</v>
      </c>
      <c r="O5" s="31" t="str">
        <f t="shared" si="4"/>
        <v>'폼 선택값'!$AQ$4:$AQ$4</v>
      </c>
      <c r="P5" s="31" t="str">
        <f t="shared" si="5"/>
        <v>'폼 선택값'!$AQ$4:$AQ$4</v>
      </c>
      <c r="Q5" s="31" t="str">
        <f t="shared" si="6"/>
        <v>'폼 선택값'!$AQ$4:$AQ$4</v>
      </c>
      <c r="R5" s="31" t="str">
        <f t="shared" si="7"/>
        <v/>
      </c>
      <c r="S5" s="31" t="str">
        <f t="shared" si="8"/>
        <v/>
      </c>
      <c r="T5" s="31" t="str">
        <f t="shared" si="9"/>
        <v/>
      </c>
      <c r="U5" s="31" t="str">
        <f t="shared" si="10"/>
        <v/>
      </c>
      <c r="V5" s="31" t="str">
        <f t="shared" si="11"/>
        <v>L_NA</v>
      </c>
      <c r="W5" s="31" t="str">
        <f t="shared" si="12"/>
        <v>L_NA</v>
      </c>
      <c r="X5" s="31" t="str">
        <f t="shared" si="13"/>
        <v>L_NA</v>
      </c>
      <c r="Y5" s="31" t="str">
        <f t="shared" si="14"/>
        <v>L_NA</v>
      </c>
    </row>
    <row r="6" spans="1:25" ht="32.25" customHeight="1">
      <c r="A6" s="8"/>
      <c r="B6" s="8"/>
      <c r="C6" s="2"/>
      <c r="D6" s="2"/>
      <c r="E6" s="2"/>
      <c r="F6" s="2"/>
      <c r="G6" s="2"/>
      <c r="H6" s="11"/>
      <c r="I6" s="14" t="str">
        <f t="shared" si="0"/>
        <v/>
      </c>
      <c r="J6" s="2"/>
      <c r="K6" s="29"/>
      <c r="L6" s="31" t="str">
        <f t="shared" si="1"/>
        <v>NA</v>
      </c>
      <c r="M6" s="31" t="str">
        <f t="shared" si="2"/>
        <v>NA</v>
      </c>
      <c r="N6" s="31" t="str">
        <f t="shared" si="3"/>
        <v>'폼 선택값'!$AQ$4:$AQ$4</v>
      </c>
      <c r="O6" s="31" t="str">
        <f t="shared" si="4"/>
        <v>'폼 선택값'!$AQ$4:$AQ$4</v>
      </c>
      <c r="P6" s="31" t="str">
        <f t="shared" si="5"/>
        <v>'폼 선택값'!$AQ$4:$AQ$4</v>
      </c>
      <c r="Q6" s="31" t="str">
        <f t="shared" si="6"/>
        <v>'폼 선택값'!$AQ$4:$AQ$4</v>
      </c>
      <c r="R6" s="31" t="str">
        <f t="shared" si="7"/>
        <v/>
      </c>
      <c r="S6" s="31" t="str">
        <f t="shared" si="8"/>
        <v/>
      </c>
      <c r="T6" s="31" t="str">
        <f t="shared" si="9"/>
        <v/>
      </c>
      <c r="U6" s="31" t="str">
        <f t="shared" si="10"/>
        <v/>
      </c>
      <c r="V6" s="31" t="str">
        <f t="shared" si="11"/>
        <v>L_NA</v>
      </c>
      <c r="W6" s="31" t="str">
        <f t="shared" si="12"/>
        <v>L_NA</v>
      </c>
      <c r="X6" s="31" t="str">
        <f t="shared" si="13"/>
        <v>L_NA</v>
      </c>
      <c r="Y6" s="31" t="str">
        <f t="shared" si="14"/>
        <v>L_NA</v>
      </c>
    </row>
    <row r="7" spans="1:25" ht="32.25" customHeight="1">
      <c r="A7" s="7"/>
      <c r="B7" s="7"/>
      <c r="C7" s="5"/>
      <c r="D7" s="5"/>
      <c r="E7" s="5"/>
      <c r="F7" s="5"/>
      <c r="G7" s="5"/>
      <c r="H7" s="10"/>
      <c r="I7" s="13" t="str">
        <f t="shared" si="0"/>
        <v/>
      </c>
      <c r="J7" s="5"/>
      <c r="K7" s="28"/>
      <c r="L7" s="31" t="str">
        <f t="shared" si="1"/>
        <v>NA</v>
      </c>
      <c r="M7" s="31" t="str">
        <f t="shared" si="2"/>
        <v>NA</v>
      </c>
      <c r="N7" s="31" t="str">
        <f t="shared" si="3"/>
        <v>'폼 선택값'!$AQ$4:$AQ$4</v>
      </c>
      <c r="O7" s="31" t="str">
        <f t="shared" si="4"/>
        <v>'폼 선택값'!$AQ$4:$AQ$4</v>
      </c>
      <c r="P7" s="31" t="str">
        <f t="shared" si="5"/>
        <v>'폼 선택값'!$AQ$4:$AQ$4</v>
      </c>
      <c r="Q7" s="31" t="str">
        <f t="shared" si="6"/>
        <v>'폼 선택값'!$AQ$4:$AQ$4</v>
      </c>
      <c r="R7" s="31" t="str">
        <f t="shared" si="7"/>
        <v/>
      </c>
      <c r="S7" s="31" t="str">
        <f t="shared" si="8"/>
        <v/>
      </c>
      <c r="T7" s="31" t="str">
        <f t="shared" si="9"/>
        <v/>
      </c>
      <c r="U7" s="31" t="str">
        <f t="shared" si="10"/>
        <v/>
      </c>
      <c r="V7" s="31" t="str">
        <f t="shared" si="11"/>
        <v>L_NA</v>
      </c>
      <c r="W7" s="31" t="str">
        <f t="shared" si="12"/>
        <v>L_NA</v>
      </c>
      <c r="X7" s="31" t="str">
        <f t="shared" si="13"/>
        <v>L_NA</v>
      </c>
      <c r="Y7" s="31" t="str">
        <f t="shared" si="14"/>
        <v>L_NA</v>
      </c>
    </row>
    <row r="8" spans="1:25" ht="32.25" customHeight="1">
      <c r="A8" s="8"/>
      <c r="B8" s="8"/>
      <c r="C8" s="2"/>
      <c r="D8" s="2"/>
      <c r="E8" s="2"/>
      <c r="F8" s="2"/>
      <c r="G8" s="2"/>
      <c r="H8" s="11"/>
      <c r="I8" s="14" t="str">
        <f t="shared" si="0"/>
        <v/>
      </c>
      <c r="J8" s="2"/>
      <c r="K8" s="29"/>
      <c r="L8" s="31" t="str">
        <f t="shared" si="1"/>
        <v>NA</v>
      </c>
      <c r="M8" s="31" t="str">
        <f t="shared" si="2"/>
        <v>NA</v>
      </c>
      <c r="N8" s="31" t="str">
        <f t="shared" si="3"/>
        <v>'폼 선택값'!$AQ$4:$AQ$4</v>
      </c>
      <c r="O8" s="31" t="str">
        <f t="shared" si="4"/>
        <v>'폼 선택값'!$AQ$4:$AQ$4</v>
      </c>
      <c r="P8" s="31" t="str">
        <f t="shared" si="5"/>
        <v>'폼 선택값'!$AQ$4:$AQ$4</v>
      </c>
      <c r="Q8" s="31" t="str">
        <f t="shared" si="6"/>
        <v>'폼 선택값'!$AQ$4:$AQ$4</v>
      </c>
      <c r="R8" s="31" t="str">
        <f t="shared" si="7"/>
        <v/>
      </c>
      <c r="S8" s="31" t="str">
        <f t="shared" si="8"/>
        <v/>
      </c>
      <c r="T8" s="31" t="str">
        <f t="shared" si="9"/>
        <v/>
      </c>
      <c r="U8" s="31" t="str">
        <f t="shared" si="10"/>
        <v/>
      </c>
      <c r="V8" s="31" t="str">
        <f t="shared" si="11"/>
        <v>L_NA</v>
      </c>
      <c r="W8" s="31" t="str">
        <f t="shared" si="12"/>
        <v>L_NA</v>
      </c>
      <c r="X8" s="31" t="str">
        <f t="shared" si="13"/>
        <v>L_NA</v>
      </c>
      <c r="Y8" s="31" t="str">
        <f t="shared" si="14"/>
        <v>L_NA</v>
      </c>
    </row>
    <row r="9" spans="1:25" ht="32.25" customHeight="1">
      <c r="A9" s="7"/>
      <c r="B9" s="7"/>
      <c r="C9" s="5"/>
      <c r="D9" s="5"/>
      <c r="E9" s="5"/>
      <c r="F9" s="5"/>
      <c r="G9" s="5"/>
      <c r="H9" s="10"/>
      <c r="I9" s="13" t="str">
        <f t="shared" si="0"/>
        <v/>
      </c>
      <c r="J9" s="5"/>
      <c r="K9" s="28"/>
      <c r="L9" s="31" t="str">
        <f t="shared" si="1"/>
        <v>NA</v>
      </c>
      <c r="M9" s="31" t="str">
        <f t="shared" si="2"/>
        <v>NA</v>
      </c>
      <c r="N9" s="31" t="str">
        <f t="shared" si="3"/>
        <v>'폼 선택값'!$AQ$4:$AQ$4</v>
      </c>
      <c r="O9" s="31" t="str">
        <f t="shared" si="4"/>
        <v>'폼 선택값'!$AQ$4:$AQ$4</v>
      </c>
      <c r="P9" s="31" t="str">
        <f t="shared" si="5"/>
        <v>'폼 선택값'!$AQ$4:$AQ$4</v>
      </c>
      <c r="Q9" s="31" t="str">
        <f t="shared" si="6"/>
        <v>'폼 선택값'!$AQ$4:$AQ$4</v>
      </c>
      <c r="R9" s="31" t="str">
        <f t="shared" si="7"/>
        <v/>
      </c>
      <c r="S9" s="31" t="str">
        <f t="shared" si="8"/>
        <v/>
      </c>
      <c r="T9" s="31" t="str">
        <f t="shared" si="9"/>
        <v/>
      </c>
      <c r="U9" s="31" t="str">
        <f t="shared" si="10"/>
        <v/>
      </c>
      <c r="V9" s="31" t="str">
        <f t="shared" si="11"/>
        <v>L_NA</v>
      </c>
      <c r="W9" s="31" t="str">
        <f t="shared" si="12"/>
        <v>L_NA</v>
      </c>
      <c r="X9" s="31" t="str">
        <f t="shared" si="13"/>
        <v>L_NA</v>
      </c>
      <c r="Y9" s="31" t="str">
        <f t="shared" si="14"/>
        <v>L_NA</v>
      </c>
    </row>
    <row r="10" spans="1:25" ht="32.25" customHeight="1">
      <c r="A10" s="8"/>
      <c r="B10" s="8"/>
      <c r="C10" s="2"/>
      <c r="D10" s="2"/>
      <c r="E10" s="2"/>
      <c r="F10" s="2"/>
      <c r="G10" s="2"/>
      <c r="H10" s="11"/>
      <c r="I10" s="14" t="str">
        <f t="shared" si="0"/>
        <v/>
      </c>
      <c r="J10" s="2"/>
      <c r="K10" s="29"/>
      <c r="L10" s="31" t="str">
        <f t="shared" si="1"/>
        <v>NA</v>
      </c>
      <c r="M10" s="31" t="str">
        <f t="shared" si="2"/>
        <v>NA</v>
      </c>
      <c r="N10" s="31" t="str">
        <f t="shared" si="3"/>
        <v>'폼 선택값'!$AQ$4:$AQ$4</v>
      </c>
      <c r="O10" s="31" t="str">
        <f t="shared" si="4"/>
        <v>'폼 선택값'!$AQ$4:$AQ$4</v>
      </c>
      <c r="P10" s="31" t="str">
        <f t="shared" si="5"/>
        <v>'폼 선택값'!$AQ$4:$AQ$4</v>
      </c>
      <c r="Q10" s="31" t="str">
        <f t="shared" si="6"/>
        <v>'폼 선택값'!$AQ$4:$AQ$4</v>
      </c>
      <c r="R10" s="31" t="str">
        <f t="shared" si="7"/>
        <v/>
      </c>
      <c r="S10" s="31" t="str">
        <f t="shared" si="8"/>
        <v/>
      </c>
      <c r="T10" s="31" t="str">
        <f t="shared" si="9"/>
        <v/>
      </c>
      <c r="U10" s="31" t="str">
        <f t="shared" si="10"/>
        <v/>
      </c>
      <c r="V10" s="31" t="str">
        <f t="shared" si="11"/>
        <v>L_NA</v>
      </c>
      <c r="W10" s="31" t="str">
        <f t="shared" si="12"/>
        <v>L_NA</v>
      </c>
      <c r="X10" s="31" t="str">
        <f t="shared" si="13"/>
        <v>L_NA</v>
      </c>
      <c r="Y10" s="31" t="str">
        <f t="shared" si="14"/>
        <v>L_NA</v>
      </c>
    </row>
    <row r="11" spans="1:25" ht="32.25" customHeight="1">
      <c r="A11" s="7"/>
      <c r="B11" s="7"/>
      <c r="C11" s="5"/>
      <c r="D11" s="5"/>
      <c r="E11" s="5"/>
      <c r="F11" s="5"/>
      <c r="G11" s="5"/>
      <c r="H11" s="10"/>
      <c r="I11" s="13" t="str">
        <f t="shared" si="0"/>
        <v/>
      </c>
      <c r="J11" s="5"/>
      <c r="K11" s="28"/>
      <c r="L11" s="31" t="str">
        <f t="shared" si="1"/>
        <v>NA</v>
      </c>
      <c r="M11" s="31" t="str">
        <f t="shared" si="2"/>
        <v>NA</v>
      </c>
      <c r="N11" s="31" t="str">
        <f t="shared" si="3"/>
        <v>'폼 선택값'!$AQ$4:$AQ$4</v>
      </c>
      <c r="O11" s="31" t="str">
        <f t="shared" si="4"/>
        <v>'폼 선택값'!$AQ$4:$AQ$4</v>
      </c>
      <c r="P11" s="31" t="str">
        <f t="shared" si="5"/>
        <v>'폼 선택값'!$AQ$4:$AQ$4</v>
      </c>
      <c r="Q11" s="31" t="str">
        <f t="shared" si="6"/>
        <v>'폼 선택값'!$AQ$4:$AQ$4</v>
      </c>
      <c r="R11" s="31" t="str">
        <f t="shared" si="7"/>
        <v/>
      </c>
      <c r="S11" s="31" t="str">
        <f t="shared" si="8"/>
        <v/>
      </c>
      <c r="T11" s="31" t="str">
        <f t="shared" si="9"/>
        <v/>
      </c>
      <c r="U11" s="31" t="str">
        <f t="shared" si="10"/>
        <v/>
      </c>
      <c r="V11" s="31" t="str">
        <f t="shared" si="11"/>
        <v>L_NA</v>
      </c>
      <c r="W11" s="31" t="str">
        <f t="shared" si="12"/>
        <v>L_NA</v>
      </c>
      <c r="X11" s="31" t="str">
        <f t="shared" si="13"/>
        <v>L_NA</v>
      </c>
      <c r="Y11" s="31" t="str">
        <f t="shared" si="14"/>
        <v>L_NA</v>
      </c>
    </row>
    <row r="12" spans="1:25" ht="32.25" customHeight="1">
      <c r="A12" s="8"/>
      <c r="B12" s="8"/>
      <c r="C12" s="2"/>
      <c r="D12" s="2"/>
      <c r="E12" s="2"/>
      <c r="F12" s="2"/>
      <c r="G12" s="2"/>
      <c r="H12" s="11"/>
      <c r="I12" s="14" t="str">
        <f t="shared" si="0"/>
        <v/>
      </c>
      <c r="J12" s="2"/>
      <c r="K12" s="29"/>
      <c r="L12" s="31" t="str">
        <f t="shared" si="1"/>
        <v>NA</v>
      </c>
      <c r="M12" s="31" t="str">
        <f t="shared" si="2"/>
        <v>NA</v>
      </c>
      <c r="N12" s="31" t="str">
        <f t="shared" si="3"/>
        <v>'폼 선택값'!$AQ$4:$AQ$4</v>
      </c>
      <c r="O12" s="31" t="str">
        <f t="shared" si="4"/>
        <v>'폼 선택값'!$AQ$4:$AQ$4</v>
      </c>
      <c r="P12" s="31" t="str">
        <f t="shared" si="5"/>
        <v>'폼 선택값'!$AQ$4:$AQ$4</v>
      </c>
      <c r="Q12" s="31" t="str">
        <f t="shared" si="6"/>
        <v>'폼 선택값'!$AQ$4:$AQ$4</v>
      </c>
      <c r="R12" s="31" t="str">
        <f t="shared" si="7"/>
        <v/>
      </c>
      <c r="S12" s="31" t="str">
        <f t="shared" si="8"/>
        <v/>
      </c>
      <c r="T12" s="31" t="str">
        <f t="shared" si="9"/>
        <v/>
      </c>
      <c r="U12" s="31" t="str">
        <f t="shared" si="10"/>
        <v/>
      </c>
      <c r="V12" s="31" t="str">
        <f t="shared" si="11"/>
        <v>L_NA</v>
      </c>
      <c r="W12" s="31" t="str">
        <f t="shared" si="12"/>
        <v>L_NA</v>
      </c>
      <c r="X12" s="31" t="str">
        <f t="shared" si="13"/>
        <v>L_NA</v>
      </c>
      <c r="Y12" s="31" t="str">
        <f t="shared" si="14"/>
        <v>L_NA</v>
      </c>
    </row>
    <row r="13" spans="1:25" ht="32.25" customHeight="1">
      <c r="A13" s="7"/>
      <c r="B13" s="7"/>
      <c r="C13" s="5"/>
      <c r="D13" s="5"/>
      <c r="E13" s="5"/>
      <c r="F13" s="5"/>
      <c r="G13" s="5"/>
      <c r="H13" s="10"/>
      <c r="I13" s="13" t="str">
        <f t="shared" si="0"/>
        <v/>
      </c>
      <c r="J13" s="5"/>
      <c r="K13" s="28"/>
      <c r="L13" s="31" t="str">
        <f t="shared" si="1"/>
        <v>NA</v>
      </c>
      <c r="M13" s="31" t="str">
        <f t="shared" si="2"/>
        <v>NA</v>
      </c>
      <c r="N13" s="31" t="str">
        <f t="shared" si="3"/>
        <v>'폼 선택값'!$AQ$4:$AQ$4</v>
      </c>
      <c r="O13" s="31" t="str">
        <f t="shared" si="4"/>
        <v>'폼 선택값'!$AQ$4:$AQ$4</v>
      </c>
      <c r="P13" s="31" t="str">
        <f t="shared" si="5"/>
        <v>'폼 선택값'!$AQ$4:$AQ$4</v>
      </c>
      <c r="Q13" s="31" t="str">
        <f t="shared" si="6"/>
        <v>'폼 선택값'!$AQ$4:$AQ$4</v>
      </c>
      <c r="R13" s="31" t="str">
        <f t="shared" si="7"/>
        <v/>
      </c>
      <c r="S13" s="31" t="str">
        <f t="shared" si="8"/>
        <v/>
      </c>
      <c r="T13" s="31" t="str">
        <f t="shared" si="9"/>
        <v/>
      </c>
      <c r="U13" s="31" t="str">
        <f t="shared" si="10"/>
        <v/>
      </c>
      <c r="V13" s="31" t="str">
        <f t="shared" si="11"/>
        <v>L_NA</v>
      </c>
      <c r="W13" s="31" t="str">
        <f t="shared" si="12"/>
        <v>L_NA</v>
      </c>
      <c r="X13" s="31" t="str">
        <f t="shared" si="13"/>
        <v>L_NA</v>
      </c>
      <c r="Y13" s="31" t="str">
        <f t="shared" si="14"/>
        <v>L_NA</v>
      </c>
    </row>
    <row r="14" spans="1:25" ht="32.25" customHeight="1">
      <c r="A14" s="8"/>
      <c r="B14" s="8"/>
      <c r="C14" s="2"/>
      <c r="D14" s="2"/>
      <c r="E14" s="2"/>
      <c r="F14" s="2"/>
      <c r="G14" s="2"/>
      <c r="H14" s="11"/>
      <c r="I14" s="14" t="str">
        <f t="shared" si="0"/>
        <v/>
      </c>
      <c r="J14" s="2"/>
      <c r="K14" s="29"/>
      <c r="L14" s="31" t="str">
        <f t="shared" si="1"/>
        <v>NA</v>
      </c>
      <c r="M14" s="31" t="str">
        <f t="shared" si="2"/>
        <v>NA</v>
      </c>
      <c r="N14" s="31" t="str">
        <f t="shared" si="3"/>
        <v>'폼 선택값'!$AQ$4:$AQ$4</v>
      </c>
      <c r="O14" s="31" t="str">
        <f t="shared" si="4"/>
        <v>'폼 선택값'!$AQ$4:$AQ$4</v>
      </c>
      <c r="P14" s="31" t="str">
        <f t="shared" si="5"/>
        <v>'폼 선택값'!$AQ$4:$AQ$4</v>
      </c>
      <c r="Q14" s="31" t="str">
        <f t="shared" si="6"/>
        <v>'폼 선택값'!$AQ$4:$AQ$4</v>
      </c>
      <c r="R14" s="31" t="str">
        <f t="shared" si="7"/>
        <v/>
      </c>
      <c r="S14" s="31" t="str">
        <f t="shared" si="8"/>
        <v/>
      </c>
      <c r="T14" s="31" t="str">
        <f t="shared" si="9"/>
        <v/>
      </c>
      <c r="U14" s="31" t="str">
        <f t="shared" si="10"/>
        <v/>
      </c>
      <c r="V14" s="31" t="str">
        <f t="shared" si="11"/>
        <v>L_NA</v>
      </c>
      <c r="W14" s="31" t="str">
        <f t="shared" si="12"/>
        <v>L_NA</v>
      </c>
      <c r="X14" s="31" t="str">
        <f t="shared" si="13"/>
        <v>L_NA</v>
      </c>
      <c r="Y14" s="31" t="str">
        <f t="shared" si="14"/>
        <v>L_NA</v>
      </c>
    </row>
    <row r="15" spans="1:25" ht="32.25" customHeight="1">
      <c r="A15" s="7"/>
      <c r="B15" s="7"/>
      <c r="C15" s="5"/>
      <c r="D15" s="5"/>
      <c r="E15" s="5"/>
      <c r="F15" s="5"/>
      <c r="G15" s="5"/>
      <c r="H15" s="10"/>
      <c r="I15" s="13" t="str">
        <f t="shared" si="0"/>
        <v/>
      </c>
      <c r="J15" s="5"/>
      <c r="K15" s="28"/>
      <c r="L15" s="31" t="str">
        <f t="shared" si="1"/>
        <v>NA</v>
      </c>
      <c r="M15" s="31" t="str">
        <f t="shared" si="2"/>
        <v>NA</v>
      </c>
      <c r="N15" s="31" t="str">
        <f t="shared" si="3"/>
        <v>'폼 선택값'!$AQ$4:$AQ$4</v>
      </c>
      <c r="O15" s="31" t="str">
        <f t="shared" si="4"/>
        <v>'폼 선택값'!$AQ$4:$AQ$4</v>
      </c>
      <c r="P15" s="31" t="str">
        <f t="shared" si="5"/>
        <v>'폼 선택값'!$AQ$4:$AQ$4</v>
      </c>
      <c r="Q15" s="31" t="str">
        <f t="shared" si="6"/>
        <v>'폼 선택값'!$AQ$4:$AQ$4</v>
      </c>
      <c r="R15" s="31" t="str">
        <f t="shared" si="7"/>
        <v/>
      </c>
      <c r="S15" s="31" t="str">
        <f t="shared" si="8"/>
        <v/>
      </c>
      <c r="T15" s="31" t="str">
        <f t="shared" si="9"/>
        <v/>
      </c>
      <c r="U15" s="31" t="str">
        <f t="shared" si="10"/>
        <v/>
      </c>
      <c r="V15" s="31" t="str">
        <f t="shared" si="11"/>
        <v>L_NA</v>
      </c>
      <c r="W15" s="31" t="str">
        <f t="shared" si="12"/>
        <v>L_NA</v>
      </c>
      <c r="X15" s="31" t="str">
        <f t="shared" si="13"/>
        <v>L_NA</v>
      </c>
      <c r="Y15" s="31" t="str">
        <f t="shared" si="14"/>
        <v>L_NA</v>
      </c>
    </row>
    <row r="16" spans="1:25" ht="32.25" customHeight="1">
      <c r="A16" s="8"/>
      <c r="B16" s="8"/>
      <c r="C16" s="2"/>
      <c r="D16" s="2"/>
      <c r="E16" s="2"/>
      <c r="F16" s="2"/>
      <c r="G16" s="2"/>
      <c r="H16" s="11"/>
      <c r="I16" s="14" t="str">
        <f t="shared" si="0"/>
        <v/>
      </c>
      <c r="J16" s="2"/>
      <c r="K16" s="29"/>
      <c r="L16" s="31" t="str">
        <f t="shared" si="1"/>
        <v>NA</v>
      </c>
      <c r="M16" s="31" t="str">
        <f t="shared" si="2"/>
        <v>NA</v>
      </c>
      <c r="N16" s="31" t="str">
        <f t="shared" si="3"/>
        <v>'폼 선택값'!$AQ$4:$AQ$4</v>
      </c>
      <c r="O16" s="31" t="str">
        <f t="shared" si="4"/>
        <v>'폼 선택값'!$AQ$4:$AQ$4</v>
      </c>
      <c r="P16" s="31" t="str">
        <f t="shared" si="5"/>
        <v>'폼 선택값'!$AQ$4:$AQ$4</v>
      </c>
      <c r="Q16" s="31" t="str">
        <f t="shared" si="6"/>
        <v>'폼 선택값'!$AQ$4:$AQ$4</v>
      </c>
      <c r="R16" s="31" t="str">
        <f t="shared" si="7"/>
        <v/>
      </c>
      <c r="S16" s="31" t="str">
        <f t="shared" si="8"/>
        <v/>
      </c>
      <c r="T16" s="31" t="str">
        <f t="shared" si="9"/>
        <v/>
      </c>
      <c r="U16" s="31" t="str">
        <f t="shared" si="10"/>
        <v/>
      </c>
      <c r="V16" s="31" t="str">
        <f t="shared" si="11"/>
        <v>L_NA</v>
      </c>
      <c r="W16" s="31" t="str">
        <f t="shared" si="12"/>
        <v>L_NA</v>
      </c>
      <c r="X16" s="31" t="str">
        <f t="shared" si="13"/>
        <v>L_NA</v>
      </c>
      <c r="Y16" s="31" t="str">
        <f t="shared" si="14"/>
        <v>L_NA</v>
      </c>
    </row>
    <row r="17" spans="1:25" ht="32.25" customHeight="1">
      <c r="A17" s="7"/>
      <c r="B17" s="7"/>
      <c r="C17" s="52"/>
      <c r="D17" s="52"/>
      <c r="E17" s="52"/>
      <c r="F17" s="52"/>
      <c r="G17" s="52"/>
      <c r="H17" s="10"/>
      <c r="I17" s="13" t="str">
        <f t="shared" si="0"/>
        <v/>
      </c>
      <c r="J17" s="5"/>
      <c r="K17" s="28"/>
      <c r="L17" s="31" t="str">
        <f t="shared" si="1"/>
        <v>NA</v>
      </c>
      <c r="M17" s="31" t="str">
        <f t="shared" si="2"/>
        <v>NA</v>
      </c>
      <c r="N17" s="31" t="str">
        <f t="shared" si="3"/>
        <v>'폼 선택값'!$AQ$4:$AQ$4</v>
      </c>
      <c r="O17" s="31" t="str">
        <f t="shared" si="4"/>
        <v>'폼 선택값'!$AQ$4:$AQ$4</v>
      </c>
      <c r="P17" s="31" t="str">
        <f t="shared" si="5"/>
        <v>'폼 선택값'!$AQ$4:$AQ$4</v>
      </c>
      <c r="Q17" s="31" t="str">
        <f t="shared" si="6"/>
        <v>'폼 선택값'!$AQ$4:$AQ$4</v>
      </c>
      <c r="R17" s="31" t="str">
        <f t="shared" si="7"/>
        <v/>
      </c>
      <c r="S17" s="31" t="str">
        <f t="shared" si="8"/>
        <v/>
      </c>
      <c r="T17" s="31" t="str">
        <f t="shared" si="9"/>
        <v/>
      </c>
      <c r="U17" s="31" t="str">
        <f t="shared" si="10"/>
        <v/>
      </c>
      <c r="V17" s="31" t="str">
        <f t="shared" si="11"/>
        <v>L_NA</v>
      </c>
      <c r="W17" s="31" t="str">
        <f t="shared" si="12"/>
        <v>L_NA</v>
      </c>
      <c r="X17" s="31" t="str">
        <f t="shared" si="13"/>
        <v>L_NA</v>
      </c>
      <c r="Y17" s="31" t="str">
        <f t="shared" si="14"/>
        <v>L_NA</v>
      </c>
    </row>
    <row r="18" spans="1:25" ht="18.75" customHeight="1">
      <c r="A18" s="8"/>
      <c r="B18" s="48"/>
      <c r="C18" s="2"/>
      <c r="D18" s="2"/>
      <c r="E18" s="2"/>
      <c r="F18" s="2"/>
      <c r="G18" s="2"/>
      <c r="H18" s="50"/>
      <c r="I18" s="14" t="str">
        <f t="shared" si="0"/>
        <v/>
      </c>
      <c r="J18" s="2"/>
      <c r="K18" s="2"/>
      <c r="L18" s="31" t="str">
        <f t="shared" si="1"/>
        <v>NA</v>
      </c>
      <c r="M18" s="31" t="str">
        <f t="shared" si="2"/>
        <v>NA</v>
      </c>
      <c r="N18" s="31" t="str">
        <f t="shared" si="3"/>
        <v>'폼 선택값'!$AQ$4:$AQ$4</v>
      </c>
      <c r="O18" s="31" t="str">
        <f t="shared" si="4"/>
        <v>'폼 선택값'!$AQ$4:$AQ$4</v>
      </c>
      <c r="P18" s="31" t="str">
        <f t="shared" si="5"/>
        <v>'폼 선택값'!$AQ$4:$AQ$4</v>
      </c>
      <c r="Q18" s="31" t="str">
        <f t="shared" si="6"/>
        <v>'폼 선택값'!$AQ$4:$AQ$4</v>
      </c>
      <c r="R18" s="31" t="str">
        <f t="shared" si="7"/>
        <v/>
      </c>
      <c r="S18" s="31" t="str">
        <f t="shared" si="8"/>
        <v/>
      </c>
      <c r="T18" s="31" t="str">
        <f t="shared" si="9"/>
        <v/>
      </c>
      <c r="U18" s="31" t="str">
        <f t="shared" si="10"/>
        <v/>
      </c>
      <c r="V18" s="31" t="str">
        <f t="shared" si="11"/>
        <v>L_NA</v>
      </c>
      <c r="W18" s="31" t="str">
        <f t="shared" si="12"/>
        <v>L_NA</v>
      </c>
      <c r="X18" s="31" t="str">
        <f t="shared" si="13"/>
        <v>L_NA</v>
      </c>
      <c r="Y18" s="31" t="str">
        <f t="shared" si="14"/>
        <v>L_NA</v>
      </c>
    </row>
    <row r="19" spans="1:25" ht="18.75" customHeight="1">
      <c r="A19" s="7"/>
      <c r="B19" s="49"/>
      <c r="C19" s="5"/>
      <c r="D19" s="5"/>
      <c r="E19" s="5"/>
      <c r="F19" s="5"/>
      <c r="G19" s="5"/>
      <c r="H19" s="51"/>
      <c r="I19" s="13" t="str">
        <f t="shared" si="0"/>
        <v/>
      </c>
      <c r="J19" s="5"/>
      <c r="K19" s="5"/>
      <c r="L19" s="31" t="str">
        <f t="shared" si="1"/>
        <v>NA</v>
      </c>
      <c r="M19" s="31" t="str">
        <f t="shared" si="2"/>
        <v>NA</v>
      </c>
      <c r="N19" s="31" t="str">
        <f t="shared" si="3"/>
        <v>'폼 선택값'!$AQ$4:$AQ$4</v>
      </c>
      <c r="O19" s="31" t="str">
        <f t="shared" si="4"/>
        <v>'폼 선택값'!$AQ$4:$AQ$4</v>
      </c>
      <c r="P19" s="31" t="str">
        <f t="shared" si="5"/>
        <v>'폼 선택값'!$AQ$4:$AQ$4</v>
      </c>
      <c r="Q19" s="31" t="str">
        <f t="shared" si="6"/>
        <v>'폼 선택값'!$AQ$4:$AQ$4</v>
      </c>
      <c r="R19" s="31" t="str">
        <f t="shared" si="7"/>
        <v/>
      </c>
      <c r="S19" s="31" t="str">
        <f t="shared" si="8"/>
        <v/>
      </c>
      <c r="T19" s="31" t="str">
        <f t="shared" si="9"/>
        <v/>
      </c>
      <c r="U19" s="31" t="str">
        <f t="shared" si="10"/>
        <v/>
      </c>
      <c r="V19" s="31" t="str">
        <f t="shared" si="11"/>
        <v>L_NA</v>
      </c>
      <c r="W19" s="31" t="str">
        <f t="shared" si="12"/>
        <v>L_NA</v>
      </c>
      <c r="X19" s="31" t="str">
        <f t="shared" si="13"/>
        <v>L_NA</v>
      </c>
      <c r="Y19" s="31" t="str">
        <f t="shared" si="14"/>
        <v>L_NA</v>
      </c>
    </row>
    <row r="20" spans="1:25" ht="18.75" customHeight="1">
      <c r="A20" s="8"/>
      <c r="B20" s="48"/>
      <c r="C20" s="2"/>
      <c r="D20" s="2"/>
      <c r="E20" s="2"/>
      <c r="F20" s="2"/>
      <c r="G20" s="2"/>
      <c r="H20" s="50"/>
      <c r="I20" s="14" t="str">
        <f t="shared" si="0"/>
        <v/>
      </c>
      <c r="J20" s="2"/>
      <c r="K20" s="2"/>
      <c r="L20" s="31" t="str">
        <f t="shared" si="1"/>
        <v>NA</v>
      </c>
      <c r="M20" s="31" t="str">
        <f t="shared" si="2"/>
        <v>NA</v>
      </c>
      <c r="N20" s="31" t="str">
        <f t="shared" si="3"/>
        <v>'폼 선택값'!$AQ$4:$AQ$4</v>
      </c>
      <c r="O20" s="31" t="str">
        <f t="shared" si="4"/>
        <v>'폼 선택값'!$AQ$4:$AQ$4</v>
      </c>
      <c r="P20" s="31" t="str">
        <f t="shared" si="5"/>
        <v>'폼 선택값'!$AQ$4:$AQ$4</v>
      </c>
      <c r="Q20" s="31" t="str">
        <f t="shared" si="6"/>
        <v>'폼 선택값'!$AQ$4:$AQ$4</v>
      </c>
      <c r="R20" s="31" t="str">
        <f t="shared" si="7"/>
        <v/>
      </c>
      <c r="S20" s="31" t="str">
        <f t="shared" si="8"/>
        <v/>
      </c>
      <c r="T20" s="31" t="str">
        <f t="shared" si="9"/>
        <v/>
      </c>
      <c r="U20" s="31" t="str">
        <f t="shared" si="10"/>
        <v/>
      </c>
      <c r="V20" s="31" t="str">
        <f t="shared" si="11"/>
        <v>L_NA</v>
      </c>
      <c r="W20" s="31" t="str">
        <f t="shared" si="12"/>
        <v>L_NA</v>
      </c>
      <c r="X20" s="31" t="str">
        <f t="shared" si="13"/>
        <v>L_NA</v>
      </c>
      <c r="Y20" s="31" t="str">
        <f t="shared" si="14"/>
        <v>L_NA</v>
      </c>
    </row>
    <row r="21" spans="1:25" ht="18.75" customHeight="1">
      <c r="A21" s="7"/>
      <c r="B21" s="49"/>
      <c r="C21" s="5"/>
      <c r="D21" s="5"/>
      <c r="E21" s="5"/>
      <c r="F21" s="5"/>
      <c r="G21" s="5"/>
      <c r="H21" s="51"/>
      <c r="I21" s="13" t="str">
        <f t="shared" si="0"/>
        <v/>
      </c>
      <c r="J21" s="5"/>
      <c r="K21" s="5"/>
      <c r="L21" s="31" t="str">
        <f t="shared" si="1"/>
        <v>NA</v>
      </c>
      <c r="M21" s="31" t="str">
        <f t="shared" si="2"/>
        <v>NA</v>
      </c>
      <c r="N21" s="31" t="str">
        <f t="shared" si="3"/>
        <v>'폼 선택값'!$AQ$4:$AQ$4</v>
      </c>
      <c r="O21" s="31" t="str">
        <f t="shared" si="4"/>
        <v>'폼 선택값'!$AQ$4:$AQ$4</v>
      </c>
      <c r="P21" s="31" t="str">
        <f t="shared" si="5"/>
        <v>'폼 선택값'!$AQ$4:$AQ$4</v>
      </c>
      <c r="Q21" s="31" t="str">
        <f t="shared" si="6"/>
        <v>'폼 선택값'!$AQ$4:$AQ$4</v>
      </c>
      <c r="R21" s="31" t="str">
        <f t="shared" si="7"/>
        <v/>
      </c>
      <c r="S21" s="31" t="str">
        <f t="shared" si="8"/>
        <v/>
      </c>
      <c r="T21" s="31" t="str">
        <f t="shared" si="9"/>
        <v/>
      </c>
      <c r="U21" s="31" t="str">
        <f t="shared" si="10"/>
        <v/>
      </c>
      <c r="V21" s="31" t="str">
        <f t="shared" si="11"/>
        <v>L_NA</v>
      </c>
      <c r="W21" s="31" t="str">
        <f t="shared" si="12"/>
        <v>L_NA</v>
      </c>
      <c r="X21" s="31" t="str">
        <f t="shared" si="13"/>
        <v>L_NA</v>
      </c>
      <c r="Y21" s="31" t="str">
        <f t="shared" si="14"/>
        <v>L_NA</v>
      </c>
    </row>
    <row r="22" spans="1:25" ht="18.75" customHeight="1">
      <c r="A22" s="8"/>
      <c r="B22" s="48"/>
      <c r="C22" s="2"/>
      <c r="D22" s="2"/>
      <c r="E22" s="2"/>
      <c r="F22" s="2"/>
      <c r="G22" s="2"/>
      <c r="H22" s="50"/>
      <c r="I22" s="14" t="str">
        <f t="shared" si="0"/>
        <v/>
      </c>
      <c r="J22" s="2"/>
      <c r="K22" s="2"/>
      <c r="L22" s="31" t="str">
        <f t="shared" si="1"/>
        <v>NA</v>
      </c>
      <c r="M22" s="31" t="str">
        <f t="shared" si="2"/>
        <v>NA</v>
      </c>
      <c r="N22" s="31" t="str">
        <f t="shared" si="3"/>
        <v>'폼 선택값'!$AQ$4:$AQ$4</v>
      </c>
      <c r="O22" s="31" t="str">
        <f t="shared" si="4"/>
        <v>'폼 선택값'!$AQ$4:$AQ$4</v>
      </c>
      <c r="P22" s="31" t="str">
        <f t="shared" si="5"/>
        <v>'폼 선택값'!$AQ$4:$AQ$4</v>
      </c>
      <c r="Q22" s="31" t="str">
        <f t="shared" si="6"/>
        <v>'폼 선택값'!$AQ$4:$AQ$4</v>
      </c>
      <c r="R22" s="31" t="str">
        <f t="shared" si="7"/>
        <v/>
      </c>
      <c r="S22" s="31" t="str">
        <f t="shared" si="8"/>
        <v/>
      </c>
      <c r="T22" s="31" t="str">
        <f t="shared" si="9"/>
        <v/>
      </c>
      <c r="U22" s="31" t="str">
        <f t="shared" si="10"/>
        <v/>
      </c>
      <c r="V22" s="31" t="str">
        <f t="shared" si="11"/>
        <v>L_NA</v>
      </c>
      <c r="W22" s="31" t="str">
        <f t="shared" si="12"/>
        <v>L_NA</v>
      </c>
      <c r="X22" s="31" t="str">
        <f t="shared" si="13"/>
        <v>L_NA</v>
      </c>
      <c r="Y22" s="31" t="str">
        <f t="shared" si="14"/>
        <v>L_NA</v>
      </c>
    </row>
    <row r="23" spans="1:25" ht="18.75" customHeight="1">
      <c r="A23" s="7"/>
      <c r="B23" s="49"/>
      <c r="C23" s="5"/>
      <c r="D23" s="5"/>
      <c r="E23" s="5"/>
      <c r="F23" s="5"/>
      <c r="G23" s="5"/>
      <c r="H23" s="51"/>
      <c r="I23" s="13" t="str">
        <f t="shared" si="0"/>
        <v/>
      </c>
      <c r="J23" s="5"/>
      <c r="K23" s="5"/>
      <c r="L23" s="31" t="str">
        <f t="shared" si="1"/>
        <v>NA</v>
      </c>
      <c r="M23" s="31" t="str">
        <f t="shared" si="2"/>
        <v>NA</v>
      </c>
      <c r="N23" s="31" t="str">
        <f t="shared" si="3"/>
        <v>'폼 선택값'!$AQ$4:$AQ$4</v>
      </c>
      <c r="O23" s="31" t="str">
        <f t="shared" si="4"/>
        <v>'폼 선택값'!$AQ$4:$AQ$4</v>
      </c>
      <c r="P23" s="31" t="str">
        <f t="shared" si="5"/>
        <v>'폼 선택값'!$AQ$4:$AQ$4</v>
      </c>
      <c r="Q23" s="31" t="str">
        <f t="shared" si="6"/>
        <v>'폼 선택값'!$AQ$4:$AQ$4</v>
      </c>
      <c r="R23" s="31" t="str">
        <f t="shared" si="7"/>
        <v/>
      </c>
      <c r="S23" s="31" t="str">
        <f t="shared" si="8"/>
        <v/>
      </c>
      <c r="T23" s="31" t="str">
        <f t="shared" si="9"/>
        <v/>
      </c>
      <c r="U23" s="31" t="str">
        <f t="shared" si="10"/>
        <v/>
      </c>
      <c r="V23" s="31" t="str">
        <f t="shared" si="11"/>
        <v>L_NA</v>
      </c>
      <c r="W23" s="31" t="str">
        <f t="shared" si="12"/>
        <v>L_NA</v>
      </c>
      <c r="X23" s="31" t="str">
        <f t="shared" si="13"/>
        <v>L_NA</v>
      </c>
      <c r="Y23" s="31" t="str">
        <f t="shared" si="14"/>
        <v>L_NA</v>
      </c>
    </row>
    <row r="24" spans="1:25" ht="18.75" customHeight="1">
      <c r="A24" s="8"/>
      <c r="B24" s="8"/>
      <c r="C24" s="3"/>
      <c r="D24" s="3"/>
      <c r="E24" s="3"/>
      <c r="F24" s="3"/>
      <c r="G24" s="3"/>
      <c r="H24" s="11"/>
      <c r="I24" s="14" t="str">
        <f t="shared" si="0"/>
        <v/>
      </c>
      <c r="J24" s="2"/>
      <c r="K24" s="2"/>
      <c r="L24" s="31" t="str">
        <f t="shared" si="1"/>
        <v>NA</v>
      </c>
      <c r="M24" s="31" t="str">
        <f t="shared" si="2"/>
        <v>NA</v>
      </c>
      <c r="N24" s="31" t="str">
        <f t="shared" si="3"/>
        <v>'폼 선택값'!$AQ$4:$AQ$4</v>
      </c>
      <c r="O24" s="31" t="str">
        <f t="shared" si="4"/>
        <v>'폼 선택값'!$AQ$4:$AQ$4</v>
      </c>
      <c r="P24" s="31" t="str">
        <f t="shared" si="5"/>
        <v>'폼 선택값'!$AQ$4:$AQ$4</v>
      </c>
      <c r="Q24" s="31" t="str">
        <f t="shared" si="6"/>
        <v>'폼 선택값'!$AQ$4:$AQ$4</v>
      </c>
      <c r="R24" s="31" t="str">
        <f t="shared" si="7"/>
        <v/>
      </c>
      <c r="S24" s="31" t="str">
        <f t="shared" si="8"/>
        <v/>
      </c>
      <c r="T24" s="31" t="str">
        <f t="shared" si="9"/>
        <v/>
      </c>
      <c r="U24" s="31" t="str">
        <f t="shared" si="10"/>
        <v/>
      </c>
      <c r="V24" s="31" t="str">
        <f t="shared" si="11"/>
        <v>L_NA</v>
      </c>
      <c r="W24" s="31" t="str">
        <f t="shared" si="12"/>
        <v>L_NA</v>
      </c>
      <c r="X24" s="31" t="str">
        <f t="shared" si="13"/>
        <v>L_NA</v>
      </c>
      <c r="Y24" s="31" t="str">
        <f t="shared" si="14"/>
        <v>L_NA</v>
      </c>
    </row>
    <row r="25" spans="1:25" ht="18.75" customHeight="1">
      <c r="A25" s="7"/>
      <c r="B25" s="7"/>
      <c r="C25" s="5"/>
      <c r="D25" s="5"/>
      <c r="E25" s="5"/>
      <c r="F25" s="5"/>
      <c r="G25" s="5"/>
      <c r="H25" s="10"/>
      <c r="I25" s="13" t="str">
        <f t="shared" si="0"/>
        <v/>
      </c>
      <c r="J25" s="5"/>
      <c r="K25" s="5"/>
      <c r="L25" s="31" t="str">
        <f t="shared" si="1"/>
        <v>NA</v>
      </c>
      <c r="M25" s="31" t="str">
        <f t="shared" si="2"/>
        <v>NA</v>
      </c>
      <c r="N25" s="31" t="str">
        <f t="shared" si="3"/>
        <v>'폼 선택값'!$AQ$4:$AQ$4</v>
      </c>
      <c r="O25" s="31" t="str">
        <f t="shared" si="4"/>
        <v>'폼 선택값'!$AQ$4:$AQ$4</v>
      </c>
      <c r="P25" s="31" t="str">
        <f t="shared" si="5"/>
        <v>'폼 선택값'!$AQ$4:$AQ$4</v>
      </c>
      <c r="Q25" s="31" t="str">
        <f t="shared" si="6"/>
        <v>'폼 선택값'!$AQ$4:$AQ$4</v>
      </c>
      <c r="R25" s="31" t="str">
        <f t="shared" si="7"/>
        <v/>
      </c>
      <c r="S25" s="31" t="str">
        <f t="shared" si="8"/>
        <v/>
      </c>
      <c r="T25" s="31" t="str">
        <f t="shared" si="9"/>
        <v/>
      </c>
      <c r="U25" s="31" t="str">
        <f t="shared" si="10"/>
        <v/>
      </c>
      <c r="V25" s="31" t="str">
        <f t="shared" si="11"/>
        <v>L_NA</v>
      </c>
      <c r="W25" s="31" t="str">
        <f t="shared" si="12"/>
        <v>L_NA</v>
      </c>
      <c r="X25" s="31" t="str">
        <f t="shared" si="13"/>
        <v>L_NA</v>
      </c>
      <c r="Y25" s="31" t="str">
        <f t="shared" si="14"/>
        <v>L_NA</v>
      </c>
    </row>
    <row r="26" spans="1:25" ht="18.75" customHeight="1">
      <c r="A26" s="8"/>
      <c r="B26" s="8"/>
      <c r="C26" s="2"/>
      <c r="D26" s="2"/>
      <c r="E26" s="2"/>
      <c r="F26" s="2"/>
      <c r="G26" s="2"/>
      <c r="H26" s="11"/>
      <c r="I26" s="14" t="str">
        <f t="shared" si="0"/>
        <v/>
      </c>
      <c r="J26" s="2"/>
      <c r="K26" s="2"/>
      <c r="L26" s="31" t="str">
        <f t="shared" si="1"/>
        <v>NA</v>
      </c>
      <c r="M26" s="31" t="str">
        <f t="shared" si="2"/>
        <v>NA</v>
      </c>
      <c r="N26" s="31" t="str">
        <f t="shared" si="3"/>
        <v>'폼 선택값'!$AQ$4:$AQ$4</v>
      </c>
      <c r="O26" s="31" t="str">
        <f t="shared" si="4"/>
        <v>'폼 선택값'!$AQ$4:$AQ$4</v>
      </c>
      <c r="P26" s="31" t="str">
        <f t="shared" si="5"/>
        <v>'폼 선택값'!$AQ$4:$AQ$4</v>
      </c>
      <c r="Q26" s="31" t="str">
        <f t="shared" si="6"/>
        <v>'폼 선택값'!$AQ$4:$AQ$4</v>
      </c>
      <c r="R26" s="31" t="str">
        <f t="shared" si="7"/>
        <v/>
      </c>
      <c r="S26" s="31" t="str">
        <f t="shared" si="8"/>
        <v/>
      </c>
      <c r="T26" s="31" t="str">
        <f t="shared" si="9"/>
        <v/>
      </c>
      <c r="U26" s="31" t="str">
        <f t="shared" si="10"/>
        <v/>
      </c>
      <c r="V26" s="31" t="str">
        <f t="shared" si="11"/>
        <v>L_NA</v>
      </c>
      <c r="W26" s="31" t="str">
        <f t="shared" si="12"/>
        <v>L_NA</v>
      </c>
      <c r="X26" s="31" t="str">
        <f t="shared" si="13"/>
        <v>L_NA</v>
      </c>
      <c r="Y26" s="31" t="str">
        <f t="shared" si="14"/>
        <v>L_NA</v>
      </c>
    </row>
    <row r="27" spans="1:25" ht="18.75" customHeight="1">
      <c r="A27" s="7"/>
      <c r="B27" s="7"/>
      <c r="C27" s="5"/>
      <c r="D27" s="5"/>
      <c r="E27" s="5"/>
      <c r="F27" s="5"/>
      <c r="G27" s="5"/>
      <c r="H27" s="10"/>
      <c r="I27" s="13" t="str">
        <f t="shared" si="0"/>
        <v/>
      </c>
      <c r="J27" s="5"/>
      <c r="K27" s="5"/>
      <c r="L27" s="31" t="str">
        <f t="shared" si="1"/>
        <v>NA</v>
      </c>
      <c r="M27" s="31" t="str">
        <f t="shared" si="2"/>
        <v>NA</v>
      </c>
      <c r="N27" s="31" t="str">
        <f t="shared" si="3"/>
        <v>'폼 선택값'!$AQ$4:$AQ$4</v>
      </c>
      <c r="O27" s="31" t="str">
        <f t="shared" si="4"/>
        <v>'폼 선택값'!$AQ$4:$AQ$4</v>
      </c>
      <c r="P27" s="31" t="str">
        <f t="shared" si="5"/>
        <v>'폼 선택값'!$AQ$4:$AQ$4</v>
      </c>
      <c r="Q27" s="31" t="str">
        <f t="shared" si="6"/>
        <v>'폼 선택값'!$AQ$4:$AQ$4</v>
      </c>
      <c r="R27" s="31" t="str">
        <f t="shared" si="7"/>
        <v/>
      </c>
      <c r="S27" s="31" t="str">
        <f t="shared" si="8"/>
        <v/>
      </c>
      <c r="T27" s="31" t="str">
        <f t="shared" si="9"/>
        <v/>
      </c>
      <c r="U27" s="31" t="str">
        <f t="shared" si="10"/>
        <v/>
      </c>
      <c r="V27" s="31" t="str">
        <f t="shared" si="11"/>
        <v>L_NA</v>
      </c>
      <c r="W27" s="31" t="str">
        <f t="shared" si="12"/>
        <v>L_NA</v>
      </c>
      <c r="X27" s="31" t="str">
        <f t="shared" si="13"/>
        <v>L_NA</v>
      </c>
      <c r="Y27" s="31" t="str">
        <f t="shared" si="14"/>
        <v>L_NA</v>
      </c>
    </row>
    <row r="28" spans="1:25" ht="18.75" customHeight="1">
      <c r="A28" s="8"/>
      <c r="B28" s="8"/>
      <c r="C28" s="2"/>
      <c r="D28" s="2"/>
      <c r="E28" s="2"/>
      <c r="F28" s="2"/>
      <c r="G28" s="2"/>
      <c r="H28" s="11"/>
      <c r="I28" s="14" t="str">
        <f t="shared" si="0"/>
        <v/>
      </c>
      <c r="J28" s="2"/>
      <c r="K28" s="2"/>
      <c r="L28" s="31" t="str">
        <f t="shared" si="1"/>
        <v>NA</v>
      </c>
      <c r="M28" s="31" t="str">
        <f t="shared" si="2"/>
        <v>NA</v>
      </c>
      <c r="N28" s="31" t="str">
        <f t="shared" si="3"/>
        <v>'폼 선택값'!$AQ$4:$AQ$4</v>
      </c>
      <c r="O28" s="31" t="str">
        <f t="shared" si="4"/>
        <v>'폼 선택값'!$AQ$4:$AQ$4</v>
      </c>
      <c r="P28" s="31" t="str">
        <f t="shared" si="5"/>
        <v>'폼 선택값'!$AQ$4:$AQ$4</v>
      </c>
      <c r="Q28" s="31" t="str">
        <f t="shared" si="6"/>
        <v>'폼 선택값'!$AQ$4:$AQ$4</v>
      </c>
      <c r="R28" s="31" t="str">
        <f t="shared" si="7"/>
        <v/>
      </c>
      <c r="S28" s="31" t="str">
        <f t="shared" si="8"/>
        <v/>
      </c>
      <c r="T28" s="31" t="str">
        <f t="shared" si="9"/>
        <v/>
      </c>
      <c r="U28" s="31" t="str">
        <f t="shared" si="10"/>
        <v/>
      </c>
      <c r="V28" s="31" t="str">
        <f t="shared" si="11"/>
        <v>L_NA</v>
      </c>
      <c r="W28" s="31" t="str">
        <f t="shared" si="12"/>
        <v>L_NA</v>
      </c>
      <c r="X28" s="31" t="str">
        <f t="shared" si="13"/>
        <v>L_NA</v>
      </c>
      <c r="Y28" s="31" t="str">
        <f t="shared" si="14"/>
        <v>L_NA</v>
      </c>
    </row>
    <row r="29" spans="1:25" ht="18.75" customHeight="1">
      <c r="A29" s="7"/>
      <c r="B29" s="7"/>
      <c r="C29" s="5"/>
      <c r="D29" s="5"/>
      <c r="E29" s="5"/>
      <c r="F29" s="5"/>
      <c r="G29" s="5"/>
      <c r="H29" s="10"/>
      <c r="I29" s="13" t="str">
        <f t="shared" si="0"/>
        <v/>
      </c>
      <c r="J29" s="5"/>
      <c r="K29" s="5"/>
      <c r="L29" s="31" t="str">
        <f t="shared" si="1"/>
        <v>NA</v>
      </c>
      <c r="M29" s="31" t="str">
        <f t="shared" si="2"/>
        <v>NA</v>
      </c>
      <c r="N29" s="31" t="str">
        <f t="shared" si="3"/>
        <v>'폼 선택값'!$AQ$4:$AQ$4</v>
      </c>
      <c r="O29" s="31" t="str">
        <f t="shared" si="4"/>
        <v>'폼 선택값'!$AQ$4:$AQ$4</v>
      </c>
      <c r="P29" s="31" t="str">
        <f t="shared" si="5"/>
        <v>'폼 선택값'!$AQ$4:$AQ$4</v>
      </c>
      <c r="Q29" s="31" t="str">
        <f t="shared" si="6"/>
        <v>'폼 선택값'!$AQ$4:$AQ$4</v>
      </c>
      <c r="R29" s="31" t="str">
        <f t="shared" si="7"/>
        <v/>
      </c>
      <c r="S29" s="31" t="str">
        <f t="shared" si="8"/>
        <v/>
      </c>
      <c r="T29" s="31" t="str">
        <f t="shared" si="9"/>
        <v/>
      </c>
      <c r="U29" s="31" t="str">
        <f t="shared" si="10"/>
        <v/>
      </c>
      <c r="V29" s="31" t="str">
        <f t="shared" si="11"/>
        <v>L_NA</v>
      </c>
      <c r="W29" s="31" t="str">
        <f t="shared" si="12"/>
        <v>L_NA</v>
      </c>
      <c r="X29" s="31" t="str">
        <f t="shared" si="13"/>
        <v>L_NA</v>
      </c>
      <c r="Y29" s="31" t="str">
        <f t="shared" si="14"/>
        <v>L_NA</v>
      </c>
    </row>
    <row r="30" spans="1:25" ht="18.75" customHeight="1">
      <c r="A30" s="8"/>
      <c r="B30" s="8"/>
      <c r="C30" s="2"/>
      <c r="D30" s="2"/>
      <c r="E30" s="2"/>
      <c r="F30" s="2"/>
      <c r="G30" s="2"/>
      <c r="H30" s="11"/>
      <c r="I30" s="14" t="str">
        <f t="shared" si="0"/>
        <v/>
      </c>
      <c r="J30" s="2"/>
      <c r="K30" s="2"/>
      <c r="L30" s="31" t="str">
        <f t="shared" si="1"/>
        <v>NA</v>
      </c>
      <c r="M30" s="31" t="str">
        <f t="shared" si="2"/>
        <v>NA</v>
      </c>
      <c r="N30" s="31" t="str">
        <f t="shared" si="3"/>
        <v>'폼 선택값'!$AQ$4:$AQ$4</v>
      </c>
      <c r="O30" s="31" t="str">
        <f t="shared" si="4"/>
        <v>'폼 선택값'!$AQ$4:$AQ$4</v>
      </c>
      <c r="P30" s="31" t="str">
        <f t="shared" si="5"/>
        <v>'폼 선택값'!$AQ$4:$AQ$4</v>
      </c>
      <c r="Q30" s="31" t="str">
        <f t="shared" si="6"/>
        <v>'폼 선택값'!$AQ$4:$AQ$4</v>
      </c>
      <c r="R30" s="31" t="str">
        <f t="shared" si="7"/>
        <v/>
      </c>
      <c r="S30" s="31" t="str">
        <f t="shared" si="8"/>
        <v/>
      </c>
      <c r="T30" s="31" t="str">
        <f t="shared" si="9"/>
        <v/>
      </c>
      <c r="U30" s="31" t="str">
        <f t="shared" si="10"/>
        <v/>
      </c>
      <c r="V30" s="31" t="str">
        <f t="shared" si="11"/>
        <v>L_NA</v>
      </c>
      <c r="W30" s="31" t="str">
        <f t="shared" si="12"/>
        <v>L_NA</v>
      </c>
      <c r="X30" s="31" t="str">
        <f t="shared" si="13"/>
        <v>L_NA</v>
      </c>
      <c r="Y30" s="31" t="str">
        <f t="shared" si="14"/>
        <v>L_NA</v>
      </c>
    </row>
    <row r="31" spans="1:25" ht="18.75" customHeight="1">
      <c r="A31" s="7"/>
      <c r="B31" s="7"/>
      <c r="C31" s="5"/>
      <c r="D31" s="5"/>
      <c r="E31" s="5"/>
      <c r="F31" s="5"/>
      <c r="G31" s="5"/>
      <c r="H31" s="10"/>
      <c r="I31" s="13" t="str">
        <f t="shared" si="0"/>
        <v/>
      </c>
      <c r="J31" s="5"/>
      <c r="K31" s="5"/>
      <c r="L31" s="31" t="str">
        <f t="shared" si="1"/>
        <v>NA</v>
      </c>
      <c r="M31" s="31" t="str">
        <f t="shared" si="2"/>
        <v>NA</v>
      </c>
      <c r="N31" s="31" t="str">
        <f t="shared" si="3"/>
        <v>'폼 선택값'!$AQ$4:$AQ$4</v>
      </c>
      <c r="O31" s="31" t="str">
        <f t="shared" si="4"/>
        <v>'폼 선택값'!$AQ$4:$AQ$4</v>
      </c>
      <c r="P31" s="31" t="str">
        <f t="shared" si="5"/>
        <v>'폼 선택값'!$AQ$4:$AQ$4</v>
      </c>
      <c r="Q31" s="31" t="str">
        <f t="shared" si="6"/>
        <v>'폼 선택값'!$AQ$4:$AQ$4</v>
      </c>
      <c r="R31" s="31" t="str">
        <f t="shared" si="7"/>
        <v/>
      </c>
      <c r="S31" s="31" t="str">
        <f t="shared" si="8"/>
        <v/>
      </c>
      <c r="T31" s="31" t="str">
        <f t="shared" si="9"/>
        <v/>
      </c>
      <c r="U31" s="31" t="str">
        <f t="shared" si="10"/>
        <v/>
      </c>
      <c r="V31" s="31" t="str">
        <f t="shared" si="11"/>
        <v>L_NA</v>
      </c>
      <c r="W31" s="31" t="str">
        <f t="shared" si="12"/>
        <v>L_NA</v>
      </c>
      <c r="X31" s="31" t="str">
        <f t="shared" si="13"/>
        <v>L_NA</v>
      </c>
      <c r="Y31" s="31" t="str">
        <f t="shared" si="14"/>
        <v>L_NA</v>
      </c>
    </row>
    <row r="32" spans="1:25" ht="18.75" customHeight="1">
      <c r="A32" s="8"/>
      <c r="B32" s="8"/>
      <c r="C32" s="2"/>
      <c r="D32" s="2"/>
      <c r="E32" s="2"/>
      <c r="F32" s="2"/>
      <c r="G32" s="2"/>
      <c r="H32" s="11"/>
      <c r="I32" s="14" t="str">
        <f t="shared" si="0"/>
        <v/>
      </c>
      <c r="J32" s="2"/>
      <c r="K32" s="2"/>
      <c r="L32" s="31" t="str">
        <f t="shared" si="1"/>
        <v>NA</v>
      </c>
      <c r="M32" s="31" t="str">
        <f t="shared" si="2"/>
        <v>NA</v>
      </c>
      <c r="N32" s="31" t="str">
        <f t="shared" si="3"/>
        <v>'폼 선택값'!$AQ$4:$AQ$4</v>
      </c>
      <c r="O32" s="31" t="str">
        <f t="shared" si="4"/>
        <v>'폼 선택값'!$AQ$4:$AQ$4</v>
      </c>
      <c r="P32" s="31" t="str">
        <f t="shared" si="5"/>
        <v>'폼 선택값'!$AQ$4:$AQ$4</v>
      </c>
      <c r="Q32" s="31" t="str">
        <f t="shared" si="6"/>
        <v>'폼 선택값'!$AQ$4:$AQ$4</v>
      </c>
      <c r="R32" s="31" t="str">
        <f t="shared" si="7"/>
        <v/>
      </c>
      <c r="S32" s="31" t="str">
        <f t="shared" si="8"/>
        <v/>
      </c>
      <c r="T32" s="31" t="str">
        <f t="shared" si="9"/>
        <v/>
      </c>
      <c r="U32" s="31" t="str">
        <f t="shared" si="10"/>
        <v/>
      </c>
      <c r="V32" s="31" t="str">
        <f t="shared" si="11"/>
        <v>L_NA</v>
      </c>
      <c r="W32" s="31" t="str">
        <f t="shared" si="12"/>
        <v>L_NA</v>
      </c>
      <c r="X32" s="31" t="str">
        <f t="shared" si="13"/>
        <v>L_NA</v>
      </c>
      <c r="Y32" s="31" t="str">
        <f t="shared" si="14"/>
        <v>L_NA</v>
      </c>
    </row>
    <row r="33" spans="1:25" ht="18.75" customHeight="1">
      <c r="A33" s="7"/>
      <c r="B33" s="7"/>
      <c r="C33" s="5"/>
      <c r="D33" s="5"/>
      <c r="E33" s="5"/>
      <c r="F33" s="5"/>
      <c r="G33" s="5"/>
      <c r="H33" s="10"/>
      <c r="I33" s="13" t="str">
        <f t="shared" si="0"/>
        <v/>
      </c>
      <c r="J33" s="5"/>
      <c r="K33" s="5"/>
      <c r="L33" s="31" t="str">
        <f t="shared" si="1"/>
        <v>NA</v>
      </c>
      <c r="M33" s="31" t="str">
        <f t="shared" si="2"/>
        <v>NA</v>
      </c>
      <c r="N33" s="31" t="str">
        <f t="shared" si="3"/>
        <v>'폼 선택값'!$AQ$4:$AQ$4</v>
      </c>
      <c r="O33" s="31" t="str">
        <f t="shared" si="4"/>
        <v>'폼 선택값'!$AQ$4:$AQ$4</v>
      </c>
      <c r="P33" s="31" t="str">
        <f t="shared" si="5"/>
        <v>'폼 선택값'!$AQ$4:$AQ$4</v>
      </c>
      <c r="Q33" s="31" t="str">
        <f t="shared" si="6"/>
        <v>'폼 선택값'!$AQ$4:$AQ$4</v>
      </c>
      <c r="R33" s="31" t="str">
        <f t="shared" si="7"/>
        <v/>
      </c>
      <c r="S33" s="31" t="str">
        <f t="shared" si="8"/>
        <v/>
      </c>
      <c r="T33" s="31" t="str">
        <f t="shared" si="9"/>
        <v/>
      </c>
      <c r="U33" s="31" t="str">
        <f t="shared" si="10"/>
        <v/>
      </c>
      <c r="V33" s="31" t="str">
        <f t="shared" si="11"/>
        <v>L_NA</v>
      </c>
      <c r="W33" s="31" t="str">
        <f t="shared" si="12"/>
        <v>L_NA</v>
      </c>
      <c r="X33" s="31" t="str">
        <f t="shared" si="13"/>
        <v>L_NA</v>
      </c>
      <c r="Y33" s="31" t="str">
        <f t="shared" si="14"/>
        <v>L_NA</v>
      </c>
    </row>
    <row r="34" spans="1:25" ht="18.75" customHeight="1">
      <c r="A34" s="8"/>
      <c r="B34" s="8"/>
      <c r="C34" s="2"/>
      <c r="D34" s="2"/>
      <c r="E34" s="2"/>
      <c r="F34" s="2"/>
      <c r="G34" s="2"/>
      <c r="H34" s="11"/>
      <c r="I34" s="14" t="str">
        <f t="shared" si="0"/>
        <v/>
      </c>
      <c r="J34" s="2"/>
      <c r="K34" s="2"/>
      <c r="L34" s="31" t="str">
        <f t="shared" si="1"/>
        <v>NA</v>
      </c>
      <c r="M34" s="31" t="str">
        <f t="shared" si="2"/>
        <v>NA</v>
      </c>
      <c r="N34" s="31" t="str">
        <f t="shared" si="3"/>
        <v>'폼 선택값'!$AQ$4:$AQ$4</v>
      </c>
      <c r="O34" s="31" t="str">
        <f t="shared" si="4"/>
        <v>'폼 선택값'!$AQ$4:$AQ$4</v>
      </c>
      <c r="P34" s="31" t="str">
        <f t="shared" si="5"/>
        <v>'폼 선택값'!$AQ$4:$AQ$4</v>
      </c>
      <c r="Q34" s="31" t="str">
        <f t="shared" si="6"/>
        <v>'폼 선택값'!$AQ$4:$AQ$4</v>
      </c>
      <c r="R34" s="31" t="str">
        <f t="shared" si="7"/>
        <v/>
      </c>
      <c r="S34" s="31" t="str">
        <f t="shared" si="8"/>
        <v/>
      </c>
      <c r="T34" s="31" t="str">
        <f t="shared" si="9"/>
        <v/>
      </c>
      <c r="U34" s="31" t="str">
        <f t="shared" si="10"/>
        <v/>
      </c>
      <c r="V34" s="31" t="str">
        <f t="shared" si="11"/>
        <v>L_NA</v>
      </c>
      <c r="W34" s="31" t="str">
        <f t="shared" si="12"/>
        <v>L_NA</v>
      </c>
      <c r="X34" s="31" t="str">
        <f t="shared" si="13"/>
        <v>L_NA</v>
      </c>
      <c r="Y34" s="31" t="str">
        <f t="shared" si="14"/>
        <v>L_NA</v>
      </c>
    </row>
    <row r="35" spans="1:25" ht="18.75" customHeight="1">
      <c r="A35" s="7"/>
      <c r="B35" s="7"/>
      <c r="C35" s="5"/>
      <c r="D35" s="5"/>
      <c r="E35" s="5"/>
      <c r="F35" s="5"/>
      <c r="G35" s="5"/>
      <c r="H35" s="10"/>
      <c r="I35" s="13" t="str">
        <f t="shared" si="0"/>
        <v/>
      </c>
      <c r="J35" s="5"/>
      <c r="K35" s="5"/>
      <c r="L35" s="31" t="str">
        <f t="shared" si="1"/>
        <v>NA</v>
      </c>
      <c r="M35" s="31" t="str">
        <f t="shared" si="2"/>
        <v>NA</v>
      </c>
      <c r="N35" s="31" t="str">
        <f t="shared" si="3"/>
        <v>'폼 선택값'!$AQ$4:$AQ$4</v>
      </c>
      <c r="O35" s="31" t="str">
        <f t="shared" si="4"/>
        <v>'폼 선택값'!$AQ$4:$AQ$4</v>
      </c>
      <c r="P35" s="31" t="str">
        <f t="shared" si="5"/>
        <v>'폼 선택값'!$AQ$4:$AQ$4</v>
      </c>
      <c r="Q35" s="31" t="str">
        <f t="shared" si="6"/>
        <v>'폼 선택값'!$AQ$4:$AQ$4</v>
      </c>
      <c r="R35" s="31" t="str">
        <f t="shared" si="7"/>
        <v/>
      </c>
      <c r="S35" s="31" t="str">
        <f t="shared" si="8"/>
        <v/>
      </c>
      <c r="T35" s="31" t="str">
        <f t="shared" si="9"/>
        <v/>
      </c>
      <c r="U35" s="31" t="str">
        <f t="shared" si="10"/>
        <v/>
      </c>
      <c r="V35" s="31" t="str">
        <f t="shared" si="11"/>
        <v>L_NA</v>
      </c>
      <c r="W35" s="31" t="str">
        <f t="shared" si="12"/>
        <v>L_NA</v>
      </c>
      <c r="X35" s="31" t="str">
        <f t="shared" si="13"/>
        <v>L_NA</v>
      </c>
      <c r="Y35" s="31" t="str">
        <f t="shared" si="14"/>
        <v>L_NA</v>
      </c>
    </row>
    <row r="36" spans="1:25" ht="18.75" customHeight="1">
      <c r="A36" s="8"/>
      <c r="B36" s="8"/>
      <c r="C36" s="2"/>
      <c r="D36" s="2"/>
      <c r="E36" s="2"/>
      <c r="F36" s="2"/>
      <c r="G36" s="2"/>
      <c r="H36" s="11"/>
      <c r="I36" s="14" t="str">
        <f t="shared" si="0"/>
        <v/>
      </c>
      <c r="J36" s="2"/>
      <c r="K36" s="2"/>
      <c r="L36" s="31" t="str">
        <f t="shared" si="1"/>
        <v>NA</v>
      </c>
      <c r="M36" s="31" t="str">
        <f t="shared" si="2"/>
        <v>NA</v>
      </c>
      <c r="N36" s="31" t="str">
        <f t="shared" si="3"/>
        <v>'폼 선택값'!$AQ$4:$AQ$4</v>
      </c>
      <c r="O36" s="31" t="str">
        <f t="shared" si="4"/>
        <v>'폼 선택값'!$AQ$4:$AQ$4</v>
      </c>
      <c r="P36" s="31" t="str">
        <f t="shared" si="5"/>
        <v>'폼 선택값'!$AQ$4:$AQ$4</v>
      </c>
      <c r="Q36" s="31" t="str">
        <f t="shared" si="6"/>
        <v>'폼 선택값'!$AQ$4:$AQ$4</v>
      </c>
      <c r="R36" s="31" t="str">
        <f t="shared" si="7"/>
        <v/>
      </c>
      <c r="S36" s="31" t="str">
        <f t="shared" si="8"/>
        <v/>
      </c>
      <c r="T36" s="31" t="str">
        <f t="shared" si="9"/>
        <v/>
      </c>
      <c r="U36" s="31" t="str">
        <f t="shared" si="10"/>
        <v/>
      </c>
      <c r="V36" s="31" t="str">
        <f t="shared" si="11"/>
        <v>L_NA</v>
      </c>
      <c r="W36" s="31" t="str">
        <f t="shared" si="12"/>
        <v>L_NA</v>
      </c>
      <c r="X36" s="31" t="str">
        <f t="shared" si="13"/>
        <v>L_NA</v>
      </c>
      <c r="Y36" s="31" t="str">
        <f t="shared" si="14"/>
        <v>L_NA</v>
      </c>
    </row>
    <row r="37" spans="1:25" ht="18.75" customHeight="1">
      <c r="A37" s="7"/>
      <c r="B37" s="7"/>
      <c r="C37" s="5"/>
      <c r="D37" s="5"/>
      <c r="E37" s="5"/>
      <c r="F37" s="5"/>
      <c r="G37" s="5"/>
      <c r="H37" s="10"/>
      <c r="I37" s="13" t="str">
        <f t="shared" si="0"/>
        <v/>
      </c>
      <c r="J37" s="5"/>
      <c r="K37" s="5"/>
      <c r="L37" s="31" t="str">
        <f t="shared" si="1"/>
        <v>NA</v>
      </c>
      <c r="M37" s="31" t="str">
        <f t="shared" si="2"/>
        <v>NA</v>
      </c>
      <c r="N37" s="31" t="str">
        <f t="shared" si="3"/>
        <v>'폼 선택값'!$AQ$4:$AQ$4</v>
      </c>
      <c r="O37" s="31" t="str">
        <f t="shared" si="4"/>
        <v>'폼 선택값'!$AQ$4:$AQ$4</v>
      </c>
      <c r="P37" s="31" t="str">
        <f t="shared" si="5"/>
        <v>'폼 선택값'!$AQ$4:$AQ$4</v>
      </c>
      <c r="Q37" s="31" t="str">
        <f t="shared" si="6"/>
        <v>'폼 선택값'!$AQ$4:$AQ$4</v>
      </c>
      <c r="R37" s="31" t="str">
        <f t="shared" si="7"/>
        <v/>
      </c>
      <c r="S37" s="31" t="str">
        <f t="shared" si="8"/>
        <v/>
      </c>
      <c r="T37" s="31" t="str">
        <f t="shared" si="9"/>
        <v/>
      </c>
      <c r="U37" s="31" t="str">
        <f t="shared" si="10"/>
        <v/>
      </c>
      <c r="V37" s="31" t="str">
        <f t="shared" si="11"/>
        <v>L_NA</v>
      </c>
      <c r="W37" s="31" t="str">
        <f t="shared" si="12"/>
        <v>L_NA</v>
      </c>
      <c r="X37" s="31" t="str">
        <f t="shared" si="13"/>
        <v>L_NA</v>
      </c>
      <c r="Y37" s="31" t="str">
        <f t="shared" si="14"/>
        <v>L_NA</v>
      </c>
    </row>
    <row r="38" spans="1:25" ht="18.75" customHeight="1">
      <c r="A38" s="8"/>
      <c r="B38" s="8"/>
      <c r="C38" s="2"/>
      <c r="D38" s="2"/>
      <c r="E38" s="2"/>
      <c r="F38" s="2"/>
      <c r="G38" s="2"/>
      <c r="H38" s="11"/>
      <c r="I38" s="14" t="str">
        <f t="shared" si="0"/>
        <v/>
      </c>
      <c r="J38" s="2"/>
      <c r="K38" s="2"/>
      <c r="L38" s="31" t="str">
        <f t="shared" si="1"/>
        <v>NA</v>
      </c>
      <c r="M38" s="31" t="str">
        <f t="shared" si="2"/>
        <v>NA</v>
      </c>
      <c r="N38" s="31" t="str">
        <f t="shared" si="3"/>
        <v>'폼 선택값'!$AQ$4:$AQ$4</v>
      </c>
      <c r="O38" s="31" t="str">
        <f t="shared" si="4"/>
        <v>'폼 선택값'!$AQ$4:$AQ$4</v>
      </c>
      <c r="P38" s="31" t="str">
        <f t="shared" si="5"/>
        <v>'폼 선택값'!$AQ$4:$AQ$4</v>
      </c>
      <c r="Q38" s="31" t="str">
        <f t="shared" si="6"/>
        <v>'폼 선택값'!$AQ$4:$AQ$4</v>
      </c>
      <c r="R38" s="31" t="str">
        <f t="shared" si="7"/>
        <v/>
      </c>
      <c r="S38" s="31" t="str">
        <f t="shared" si="8"/>
        <v/>
      </c>
      <c r="T38" s="31" t="str">
        <f t="shared" si="9"/>
        <v/>
      </c>
      <c r="U38" s="31" t="str">
        <f t="shared" si="10"/>
        <v/>
      </c>
      <c r="V38" s="31" t="str">
        <f t="shared" si="11"/>
        <v>L_NA</v>
      </c>
      <c r="W38" s="31" t="str">
        <f t="shared" si="12"/>
        <v>L_NA</v>
      </c>
      <c r="X38" s="31" t="str">
        <f t="shared" si="13"/>
        <v>L_NA</v>
      </c>
      <c r="Y38" s="31" t="str">
        <f t="shared" si="14"/>
        <v>L_NA</v>
      </c>
    </row>
    <row r="39" spans="1:25" ht="18.75" customHeight="1">
      <c r="A39" s="7"/>
      <c r="B39" s="7"/>
      <c r="C39" s="5"/>
      <c r="D39" s="5"/>
      <c r="E39" s="5"/>
      <c r="F39" s="5"/>
      <c r="G39" s="5"/>
      <c r="H39" s="10"/>
      <c r="I39" s="13" t="str">
        <f t="shared" si="0"/>
        <v/>
      </c>
      <c r="J39" s="5"/>
      <c r="K39" s="5"/>
      <c r="L39" s="31" t="str">
        <f t="shared" si="1"/>
        <v>NA</v>
      </c>
      <c r="M39" s="31" t="str">
        <f t="shared" si="2"/>
        <v>NA</v>
      </c>
      <c r="N39" s="31" t="str">
        <f t="shared" si="3"/>
        <v>'폼 선택값'!$AQ$4:$AQ$4</v>
      </c>
      <c r="O39" s="31" t="str">
        <f t="shared" si="4"/>
        <v>'폼 선택값'!$AQ$4:$AQ$4</v>
      </c>
      <c r="P39" s="31" t="str">
        <f t="shared" si="5"/>
        <v>'폼 선택값'!$AQ$4:$AQ$4</v>
      </c>
      <c r="Q39" s="31" t="str">
        <f t="shared" si="6"/>
        <v>'폼 선택값'!$AQ$4:$AQ$4</v>
      </c>
      <c r="R39" s="31" t="str">
        <f t="shared" si="7"/>
        <v/>
      </c>
      <c r="S39" s="31" t="str">
        <f t="shared" si="8"/>
        <v/>
      </c>
      <c r="T39" s="31" t="str">
        <f t="shared" si="9"/>
        <v/>
      </c>
      <c r="U39" s="31" t="str">
        <f t="shared" si="10"/>
        <v/>
      </c>
      <c r="V39" s="31" t="str">
        <f t="shared" si="11"/>
        <v>L_NA</v>
      </c>
      <c r="W39" s="31" t="str">
        <f t="shared" si="12"/>
        <v>L_NA</v>
      </c>
      <c r="X39" s="31" t="str">
        <f t="shared" si="13"/>
        <v>L_NA</v>
      </c>
      <c r="Y39" s="31" t="str">
        <f t="shared" si="14"/>
        <v>L_NA</v>
      </c>
    </row>
    <row r="40" spans="1:25" ht="18.75" customHeight="1">
      <c r="A40" s="8"/>
      <c r="B40" s="8"/>
      <c r="C40" s="2"/>
      <c r="D40" s="2"/>
      <c r="E40" s="2"/>
      <c r="F40" s="2"/>
      <c r="G40" s="2"/>
      <c r="H40" s="11"/>
      <c r="I40" s="14" t="str">
        <f t="shared" si="0"/>
        <v/>
      </c>
      <c r="J40" s="2"/>
      <c r="K40" s="2"/>
      <c r="L40" s="31" t="str">
        <f t="shared" si="1"/>
        <v>NA</v>
      </c>
      <c r="M40" s="31" t="str">
        <f t="shared" si="2"/>
        <v>NA</v>
      </c>
      <c r="N40" s="31" t="str">
        <f t="shared" si="3"/>
        <v>'폼 선택값'!$AQ$4:$AQ$4</v>
      </c>
      <c r="O40" s="31" t="str">
        <f t="shared" si="4"/>
        <v>'폼 선택값'!$AQ$4:$AQ$4</v>
      </c>
      <c r="P40" s="31" t="str">
        <f t="shared" si="5"/>
        <v>'폼 선택값'!$AQ$4:$AQ$4</v>
      </c>
      <c r="Q40" s="31" t="str">
        <f t="shared" si="6"/>
        <v>'폼 선택값'!$AQ$4:$AQ$4</v>
      </c>
      <c r="R40" s="31" t="str">
        <f t="shared" si="7"/>
        <v/>
      </c>
      <c r="S40" s="31" t="str">
        <f t="shared" si="8"/>
        <v/>
      </c>
      <c r="T40" s="31" t="str">
        <f t="shared" si="9"/>
        <v/>
      </c>
      <c r="U40" s="31" t="str">
        <f t="shared" si="10"/>
        <v/>
      </c>
      <c r="V40" s="31" t="str">
        <f t="shared" si="11"/>
        <v>L_NA</v>
      </c>
      <c r="W40" s="31" t="str">
        <f t="shared" si="12"/>
        <v>L_NA</v>
      </c>
      <c r="X40" s="31" t="str">
        <f t="shared" si="13"/>
        <v>L_NA</v>
      </c>
      <c r="Y40" s="31" t="str">
        <f t="shared" si="14"/>
        <v>L_NA</v>
      </c>
    </row>
    <row r="41" spans="1:25" ht="18.75" customHeight="1">
      <c r="A41" s="7"/>
      <c r="B41" s="7"/>
      <c r="C41" s="5"/>
      <c r="D41" s="5"/>
      <c r="E41" s="5"/>
      <c r="F41" s="5"/>
      <c r="G41" s="5"/>
      <c r="H41" s="10"/>
      <c r="I41" s="13" t="str">
        <f t="shared" si="0"/>
        <v/>
      </c>
      <c r="J41" s="5"/>
      <c r="K41" s="5"/>
      <c r="L41" s="31" t="str">
        <f t="shared" si="1"/>
        <v>NA</v>
      </c>
      <c r="M41" s="31" t="str">
        <f t="shared" si="2"/>
        <v>NA</v>
      </c>
      <c r="N41" s="31" t="str">
        <f t="shared" si="3"/>
        <v>'폼 선택값'!$AQ$4:$AQ$4</v>
      </c>
      <c r="O41" s="31" t="str">
        <f t="shared" si="4"/>
        <v>'폼 선택값'!$AQ$4:$AQ$4</v>
      </c>
      <c r="P41" s="31" t="str">
        <f t="shared" si="5"/>
        <v>'폼 선택값'!$AQ$4:$AQ$4</v>
      </c>
      <c r="Q41" s="31" t="str">
        <f t="shared" si="6"/>
        <v>'폼 선택값'!$AQ$4:$AQ$4</v>
      </c>
      <c r="R41" s="31" t="str">
        <f t="shared" si="7"/>
        <v/>
      </c>
      <c r="S41" s="31" t="str">
        <f t="shared" si="8"/>
        <v/>
      </c>
      <c r="T41" s="31" t="str">
        <f t="shared" si="9"/>
        <v/>
      </c>
      <c r="U41" s="31" t="str">
        <f t="shared" si="10"/>
        <v/>
      </c>
      <c r="V41" s="31" t="str">
        <f t="shared" si="11"/>
        <v>L_NA</v>
      </c>
      <c r="W41" s="31" t="str">
        <f t="shared" si="12"/>
        <v>L_NA</v>
      </c>
      <c r="X41" s="31" t="str">
        <f t="shared" si="13"/>
        <v>L_NA</v>
      </c>
      <c r="Y41" s="31" t="str">
        <f t="shared" si="14"/>
        <v>L_NA</v>
      </c>
    </row>
    <row r="42" spans="1:25" ht="18.75" customHeight="1">
      <c r="A42" s="8"/>
      <c r="B42" s="8"/>
      <c r="C42" s="2"/>
      <c r="D42" s="2"/>
      <c r="E42" s="2"/>
      <c r="F42" s="2"/>
      <c r="G42" s="2"/>
      <c r="H42" s="11"/>
      <c r="I42" s="14" t="str">
        <f t="shared" si="0"/>
        <v/>
      </c>
      <c r="J42" s="2"/>
      <c r="K42" s="2"/>
      <c r="L42" s="31" t="str">
        <f t="shared" si="1"/>
        <v>NA</v>
      </c>
      <c r="M42" s="31" t="str">
        <f t="shared" si="2"/>
        <v>NA</v>
      </c>
      <c r="N42" s="31" t="str">
        <f t="shared" si="3"/>
        <v>'폼 선택값'!$AQ$4:$AQ$4</v>
      </c>
      <c r="O42" s="31" t="str">
        <f t="shared" si="4"/>
        <v>'폼 선택값'!$AQ$4:$AQ$4</v>
      </c>
      <c r="P42" s="31" t="str">
        <f t="shared" si="5"/>
        <v>'폼 선택값'!$AQ$4:$AQ$4</v>
      </c>
      <c r="Q42" s="31" t="str">
        <f t="shared" si="6"/>
        <v>'폼 선택값'!$AQ$4:$AQ$4</v>
      </c>
      <c r="R42" s="31" t="str">
        <f t="shared" si="7"/>
        <v/>
      </c>
      <c r="S42" s="31" t="str">
        <f t="shared" si="8"/>
        <v/>
      </c>
      <c r="T42" s="31" t="str">
        <f t="shared" si="9"/>
        <v/>
      </c>
      <c r="U42" s="31" t="str">
        <f t="shared" si="10"/>
        <v/>
      </c>
      <c r="V42" s="31" t="str">
        <f t="shared" si="11"/>
        <v>L_NA</v>
      </c>
      <c r="W42" s="31" t="str">
        <f t="shared" si="12"/>
        <v>L_NA</v>
      </c>
      <c r="X42" s="31" t="str">
        <f t="shared" si="13"/>
        <v>L_NA</v>
      </c>
      <c r="Y42" s="31" t="str">
        <f t="shared" si="14"/>
        <v>L_NA</v>
      </c>
    </row>
    <row r="43" spans="1:25" ht="18.75" customHeight="1">
      <c r="A43" s="7"/>
      <c r="B43" s="7"/>
      <c r="C43" s="5"/>
      <c r="D43" s="5"/>
      <c r="E43" s="5"/>
      <c r="F43" s="5"/>
      <c r="G43" s="5"/>
      <c r="H43" s="10"/>
      <c r="I43" s="13" t="str">
        <f t="shared" si="0"/>
        <v/>
      </c>
      <c r="J43" s="5"/>
      <c r="K43" s="5"/>
      <c r="L43" s="31" t="str">
        <f t="shared" si="1"/>
        <v>NA</v>
      </c>
      <c r="M43" s="31" t="str">
        <f t="shared" si="2"/>
        <v>NA</v>
      </c>
      <c r="N43" s="31" t="str">
        <f t="shared" si="3"/>
        <v>'폼 선택값'!$AQ$4:$AQ$4</v>
      </c>
      <c r="O43" s="31" t="str">
        <f t="shared" si="4"/>
        <v>'폼 선택값'!$AQ$4:$AQ$4</v>
      </c>
      <c r="P43" s="31" t="str">
        <f t="shared" si="5"/>
        <v>'폼 선택값'!$AQ$4:$AQ$4</v>
      </c>
      <c r="Q43" s="31" t="str">
        <f t="shared" si="6"/>
        <v>'폼 선택값'!$AQ$4:$AQ$4</v>
      </c>
      <c r="R43" s="31" t="str">
        <f t="shared" si="7"/>
        <v/>
      </c>
      <c r="S43" s="31" t="str">
        <f t="shared" si="8"/>
        <v/>
      </c>
      <c r="T43" s="31" t="str">
        <f t="shared" si="9"/>
        <v/>
      </c>
      <c r="U43" s="31" t="str">
        <f t="shared" si="10"/>
        <v/>
      </c>
      <c r="V43" s="31" t="str">
        <f t="shared" si="11"/>
        <v>L_NA</v>
      </c>
      <c r="W43" s="31" t="str">
        <f t="shared" si="12"/>
        <v>L_NA</v>
      </c>
      <c r="X43" s="31" t="str">
        <f t="shared" si="13"/>
        <v>L_NA</v>
      </c>
      <c r="Y43" s="31" t="str">
        <f t="shared" si="14"/>
        <v>L_NA</v>
      </c>
    </row>
    <row r="44" spans="1:25" ht="18.75" customHeight="1">
      <c r="A44" s="8"/>
      <c r="B44" s="8"/>
      <c r="C44" s="2"/>
      <c r="D44" s="2"/>
      <c r="E44" s="2"/>
      <c r="F44" s="2"/>
      <c r="G44" s="2"/>
      <c r="H44" s="11"/>
      <c r="I44" s="14" t="str">
        <f t="shared" si="0"/>
        <v/>
      </c>
      <c r="J44" s="2"/>
      <c r="K44" s="2"/>
      <c r="L44" s="31" t="str">
        <f t="shared" si="1"/>
        <v>NA</v>
      </c>
      <c r="M44" s="31" t="str">
        <f t="shared" si="2"/>
        <v>NA</v>
      </c>
      <c r="N44" s="31" t="str">
        <f t="shared" si="3"/>
        <v>'폼 선택값'!$AQ$4:$AQ$4</v>
      </c>
      <c r="O44" s="31" t="str">
        <f t="shared" si="4"/>
        <v>'폼 선택값'!$AQ$4:$AQ$4</v>
      </c>
      <c r="P44" s="31" t="str">
        <f t="shared" si="5"/>
        <v>'폼 선택값'!$AQ$4:$AQ$4</v>
      </c>
      <c r="Q44" s="31" t="str">
        <f t="shared" si="6"/>
        <v>'폼 선택값'!$AQ$4:$AQ$4</v>
      </c>
      <c r="R44" s="31" t="str">
        <f t="shared" si="7"/>
        <v/>
      </c>
      <c r="S44" s="31" t="str">
        <f t="shared" si="8"/>
        <v/>
      </c>
      <c r="T44" s="31" t="str">
        <f t="shared" si="9"/>
        <v/>
      </c>
      <c r="U44" s="31" t="str">
        <f t="shared" si="10"/>
        <v/>
      </c>
      <c r="V44" s="31" t="str">
        <f t="shared" si="11"/>
        <v>L_NA</v>
      </c>
      <c r="W44" s="31" t="str">
        <f t="shared" si="12"/>
        <v>L_NA</v>
      </c>
      <c r="X44" s="31" t="str">
        <f t="shared" si="13"/>
        <v>L_NA</v>
      </c>
      <c r="Y44" s="31" t="str">
        <f t="shared" si="14"/>
        <v>L_NA</v>
      </c>
    </row>
    <row r="45" spans="1:25" ht="18.75" customHeight="1">
      <c r="A45" s="7"/>
      <c r="B45" s="7"/>
      <c r="C45" s="5"/>
      <c r="D45" s="5"/>
      <c r="E45" s="5"/>
      <c r="F45" s="5"/>
      <c r="G45" s="5"/>
      <c r="H45" s="10"/>
      <c r="I45" s="13" t="str">
        <f t="shared" si="0"/>
        <v/>
      </c>
      <c r="J45" s="5"/>
      <c r="K45" s="5"/>
      <c r="L45" s="31" t="str">
        <f t="shared" si="1"/>
        <v>NA</v>
      </c>
      <c r="M45" s="31" t="str">
        <f t="shared" si="2"/>
        <v>NA</v>
      </c>
      <c r="N45" s="31" t="str">
        <f t="shared" si="3"/>
        <v>'폼 선택값'!$AQ$4:$AQ$4</v>
      </c>
      <c r="O45" s="31" t="str">
        <f t="shared" si="4"/>
        <v>'폼 선택값'!$AQ$4:$AQ$4</v>
      </c>
      <c r="P45" s="31" t="str">
        <f t="shared" si="5"/>
        <v>'폼 선택값'!$AQ$4:$AQ$4</v>
      </c>
      <c r="Q45" s="31" t="str">
        <f t="shared" si="6"/>
        <v>'폼 선택값'!$AQ$4:$AQ$4</v>
      </c>
      <c r="R45" s="31" t="str">
        <f t="shared" si="7"/>
        <v/>
      </c>
      <c r="S45" s="31" t="str">
        <f t="shared" si="8"/>
        <v/>
      </c>
      <c r="T45" s="31" t="str">
        <f t="shared" si="9"/>
        <v/>
      </c>
      <c r="U45" s="31" t="str">
        <f t="shared" si="10"/>
        <v/>
      </c>
      <c r="V45" s="31" t="str">
        <f t="shared" si="11"/>
        <v>L_NA</v>
      </c>
      <c r="W45" s="31" t="str">
        <f t="shared" si="12"/>
        <v>L_NA</v>
      </c>
      <c r="X45" s="31" t="str">
        <f t="shared" si="13"/>
        <v>L_NA</v>
      </c>
      <c r="Y45" s="31" t="str">
        <f t="shared" si="14"/>
        <v>L_NA</v>
      </c>
    </row>
    <row r="46" spans="1:25" ht="18.75" customHeight="1">
      <c r="A46" s="8"/>
      <c r="B46" s="8"/>
      <c r="C46" s="2"/>
      <c r="D46" s="2"/>
      <c r="E46" s="2"/>
      <c r="F46" s="2"/>
      <c r="G46" s="2"/>
      <c r="H46" s="11"/>
      <c r="I46" s="14" t="str">
        <f t="shared" si="0"/>
        <v/>
      </c>
      <c r="J46" s="2"/>
      <c r="K46" s="2"/>
      <c r="L46" s="31" t="str">
        <f t="shared" si="1"/>
        <v>NA</v>
      </c>
      <c r="M46" s="31" t="str">
        <f t="shared" si="2"/>
        <v>NA</v>
      </c>
      <c r="N46" s="31" t="str">
        <f t="shared" si="3"/>
        <v>'폼 선택값'!$AQ$4:$AQ$4</v>
      </c>
      <c r="O46" s="31" t="str">
        <f t="shared" si="4"/>
        <v>'폼 선택값'!$AQ$4:$AQ$4</v>
      </c>
      <c r="P46" s="31" t="str">
        <f t="shared" si="5"/>
        <v>'폼 선택값'!$AQ$4:$AQ$4</v>
      </c>
      <c r="Q46" s="31" t="str">
        <f t="shared" si="6"/>
        <v>'폼 선택값'!$AQ$4:$AQ$4</v>
      </c>
      <c r="R46" s="31" t="str">
        <f t="shared" si="7"/>
        <v/>
      </c>
      <c r="S46" s="31" t="str">
        <f t="shared" si="8"/>
        <v/>
      </c>
      <c r="T46" s="31" t="str">
        <f t="shared" si="9"/>
        <v/>
      </c>
      <c r="U46" s="31" t="str">
        <f t="shared" si="10"/>
        <v/>
      </c>
      <c r="V46" s="31" t="str">
        <f t="shared" si="11"/>
        <v>L_NA</v>
      </c>
      <c r="W46" s="31" t="str">
        <f t="shared" si="12"/>
        <v>L_NA</v>
      </c>
      <c r="X46" s="31" t="str">
        <f t="shared" si="13"/>
        <v>L_NA</v>
      </c>
      <c r="Y46" s="31" t="str">
        <f t="shared" si="14"/>
        <v>L_NA</v>
      </c>
    </row>
    <row r="47" spans="1:25" ht="18.75" customHeight="1">
      <c r="A47" s="7"/>
      <c r="B47" s="7"/>
      <c r="C47" s="5"/>
      <c r="D47" s="5"/>
      <c r="E47" s="5"/>
      <c r="F47" s="5"/>
      <c r="G47" s="5"/>
      <c r="H47" s="10"/>
      <c r="I47" s="13" t="str">
        <f t="shared" si="0"/>
        <v/>
      </c>
      <c r="J47" s="5"/>
      <c r="K47" s="5"/>
      <c r="L47" s="31" t="str">
        <f t="shared" si="1"/>
        <v>NA</v>
      </c>
      <c r="M47" s="31" t="str">
        <f t="shared" si="2"/>
        <v>NA</v>
      </c>
      <c r="N47" s="31" t="str">
        <f t="shared" si="3"/>
        <v>'폼 선택값'!$AQ$4:$AQ$4</v>
      </c>
      <c r="O47" s="31" t="str">
        <f t="shared" si="4"/>
        <v>'폼 선택값'!$AQ$4:$AQ$4</v>
      </c>
      <c r="P47" s="31" t="str">
        <f t="shared" si="5"/>
        <v>'폼 선택값'!$AQ$4:$AQ$4</v>
      </c>
      <c r="Q47" s="31" t="str">
        <f t="shared" si="6"/>
        <v>'폼 선택값'!$AQ$4:$AQ$4</v>
      </c>
      <c r="R47" s="31" t="str">
        <f t="shared" si="7"/>
        <v/>
      </c>
      <c r="S47" s="31" t="str">
        <f t="shared" si="8"/>
        <v/>
      </c>
      <c r="T47" s="31" t="str">
        <f t="shared" si="9"/>
        <v/>
      </c>
      <c r="U47" s="31" t="str">
        <f t="shared" si="10"/>
        <v/>
      </c>
      <c r="V47" s="31" t="str">
        <f t="shared" si="11"/>
        <v>L_NA</v>
      </c>
      <c r="W47" s="31" t="str">
        <f t="shared" si="12"/>
        <v>L_NA</v>
      </c>
      <c r="X47" s="31" t="str">
        <f t="shared" si="13"/>
        <v>L_NA</v>
      </c>
      <c r="Y47" s="31" t="str">
        <f t="shared" si="14"/>
        <v>L_NA</v>
      </c>
    </row>
  </sheetData>
  <mergeCells count="2">
    <mergeCell ref="A2:K2"/>
    <mergeCell ref="A1:K1"/>
  </mergeCells>
  <phoneticPr fontId="11" type="noConversion"/>
  <conditionalFormatting sqref="D4:D47">
    <cfRule type="cellIs" dxfId="3" priority="1" operator="notEqual">
      <formula>$R4</formula>
    </cfRule>
  </conditionalFormatting>
  <conditionalFormatting sqref="E4:E47">
    <cfRule type="cellIs" dxfId="2" priority="2" operator="notEqual">
      <formula>$S4</formula>
    </cfRule>
  </conditionalFormatting>
  <conditionalFormatting sqref="F4:F47">
    <cfRule type="cellIs" dxfId="1" priority="3" operator="notEqual">
      <formula>$T4</formula>
    </cfRule>
  </conditionalFormatting>
  <conditionalFormatting sqref="G4:G47">
    <cfRule type="cellIs" dxfId="0" priority="4" operator="notEqual">
      <formula>$U4</formula>
    </cfRule>
  </conditionalFormatting>
  <dataValidations count="7">
    <dataValidation type="list" allowBlank="1" showInputMessage="1" showErrorMessage="1" errorTitle="실행(Y/N)" error="Y 또는 N만 입력할 수 있습니다." sqref="A4:A47" xr:uid="{00000000-0002-0000-0000-000000000000}">
      <formula1>"Y,N"</formula1>
    </dataValidation>
    <dataValidation type="list" errorStyle="warning" allowBlank="1" showInputMessage="1" showErrorMessage="1" errorTitle="Quota Type" error="'폼 선택값' 시트 목록에 없는 값입니다. 폼이 바뀐 경우에만 그대로 두세요." sqref="C4:C47" xr:uid="{00000000-0002-0000-0000-000001000000}">
      <formula1>L_QT</formula1>
    </dataValidation>
    <dataValidation type="list" errorStyle="warning" allowBlank="1" showInputMessage="1" showErrorMessage="1" errorTitle="Model Type" error="앞 칸에서 고른 값에 맞는 목록에 없는 값입니다. 목록이 '(목록 확인 중 …)'이면 직접 입력해도 됩니다. 앞 칸을 바꿨다면 이 칸을 다시 고르세요." sqref="D4:D47" xr:uid="{00000000-0002-0000-0000-000002000000}">
      <formula1>INDIRECT($N4)</formula1>
    </dataValidation>
    <dataValidation type="list" errorStyle="warning" allowBlank="1" showInputMessage="1" showErrorMessage="1" errorTitle="배포 유형" error="앞 칸에서 고른 값에 맞는 목록에 없는 값입니다. 목록이 '(목록 확인 중 …)'이면 직접 입력해도 됩니다. 앞 칸을 바꿨다면 이 칸을 다시 고르세요." sqref="E4:E47" xr:uid="{00000000-0002-0000-0000-000003000000}">
      <formula1>INDIRECT($O4)</formula1>
    </dataValidation>
    <dataValidation type="whole" operator="greaterThan" allowBlank="1" showInputMessage="1" showErrorMessage="1" errorTitle="신청 총 TPM" error="TPM 단위의 양의 정수를 입력하세요. 예: 100000000" sqref="H4:H47" xr:uid="{00000000-0002-0000-0000-000004000000}">
      <formula1>0</formula1>
    </dataValidation>
    <dataValidation type="list" errorStyle="warning" allowBlank="1" showInputMessage="1" showErrorMessage="1" errorTitle="폼 모델명" error="앞 칸에서 고른 값에 맞는 목록에 없는 값입니다. 목록이 '(목록 확인 중 …)'이면 직접 입력해도 됩니다. 앞 칸을 바꿨다면 이 칸을 다시 고르세요." sqref="F4:F47" xr:uid="{00000000-0002-0000-0000-000005000000}">
      <formula1>INDIRECT($P4)</formula1>
    </dataValidation>
    <dataValidation type="list" errorStyle="warning" allowBlank="1" showInputMessage="1" showErrorMessage="1" errorTitle="Region / Data Zone Pool" error="앞 칸에서 고른 값에 맞는 목록에 없는 값입니다. 목록이 '(목록 확인 중 …)'이면 직접 입력해도 됩니다. 앞 칸을 바꿨다면 이 칸을 다시 고르세요." sqref="G4:G47" xr:uid="{00000000-0002-0000-0000-000006000000}">
      <formula1>INDIRECT($Q4)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1" topLeftCell="A4" activePane="bottomLeft" state="frozen"/>
      <selection pane="bottomLeft" activeCell="B11" sqref="B11"/>
    </sheetView>
  </sheetViews>
  <sheetFormatPr defaultRowHeight="17"/>
  <cols>
    <col min="1" max="1" width="22.75" customWidth="1"/>
    <col min="2" max="2" width="86.75" customWidth="1"/>
    <col min="3" max="3" width="62.75" customWidth="1"/>
  </cols>
  <sheetData>
    <row r="1" spans="1:3" ht="24" customHeight="1">
      <c r="A1" s="59" t="s">
        <v>0</v>
      </c>
      <c r="B1" s="15" t="s">
        <v>1</v>
      </c>
      <c r="C1" s="15" t="s">
        <v>2</v>
      </c>
    </row>
    <row r="2" spans="1:3" ht="21.75" customHeight="1">
      <c r="A2" s="16" t="s">
        <v>3</v>
      </c>
      <c r="B2" s="60"/>
      <c r="C2" s="17" t="s">
        <v>4</v>
      </c>
    </row>
    <row r="3" spans="1:3" ht="21.75" customHeight="1">
      <c r="A3" s="16" t="s">
        <v>5</v>
      </c>
      <c r="B3" s="60"/>
      <c r="C3" s="17" t="s">
        <v>6</v>
      </c>
    </row>
    <row r="4" spans="1:3" ht="21.75" customHeight="1">
      <c r="A4" s="16" t="s">
        <v>7</v>
      </c>
      <c r="B4" s="18"/>
      <c r="C4" s="17" t="s">
        <v>8</v>
      </c>
    </row>
    <row r="5" spans="1:3" ht="21.75" customHeight="1">
      <c r="A5" s="16" t="s">
        <v>9</v>
      </c>
      <c r="B5" s="18"/>
      <c r="C5" s="17" t="s">
        <v>10</v>
      </c>
    </row>
    <row r="6" spans="1:3" ht="21.75" customHeight="1">
      <c r="A6" s="16" t="s">
        <v>11</v>
      </c>
      <c r="B6" s="18"/>
      <c r="C6" s="17" t="s">
        <v>12</v>
      </c>
    </row>
    <row r="7" spans="1:3" ht="21.75" customHeight="1">
      <c r="A7" s="16" t="s">
        <v>13</v>
      </c>
      <c r="B7" s="18"/>
      <c r="C7" s="17" t="s">
        <v>14</v>
      </c>
    </row>
    <row r="8" spans="1:3" ht="21.75" customHeight="1">
      <c r="A8" s="16" t="s">
        <v>15</v>
      </c>
      <c r="B8" s="18"/>
      <c r="C8" s="17" t="s">
        <v>16</v>
      </c>
    </row>
    <row r="9" spans="1:3" ht="21.75" customHeight="1">
      <c r="A9" s="16" t="s">
        <v>17</v>
      </c>
      <c r="B9" s="18"/>
      <c r="C9" s="17" t="s">
        <v>18</v>
      </c>
    </row>
    <row r="10" spans="1:3" ht="33.75" customHeight="1">
      <c r="A10" s="16" t="s">
        <v>19</v>
      </c>
      <c r="B10" s="18"/>
      <c r="C10" s="17" t="s">
        <v>20</v>
      </c>
    </row>
    <row r="11" spans="1:3" ht="128.25" customHeight="1">
      <c r="A11" s="19" t="s">
        <v>21</v>
      </c>
      <c r="B11" s="20"/>
      <c r="C11" s="21" t="s">
        <v>22</v>
      </c>
    </row>
    <row r="12" spans="1:3" ht="21.75" customHeight="1">
      <c r="A12" s="16" t="s">
        <v>23</v>
      </c>
      <c r="B12" s="18"/>
      <c r="C12" s="17" t="s">
        <v>24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11.75" customWidth="1"/>
    <col min="2" max="2" width="37.75" customWidth="1"/>
    <col min="3" max="3" width="34.75" customWidth="1"/>
    <col min="4" max="4" width="8.75" customWidth="1"/>
    <col min="5" max="5" width="66.75" customWidth="1"/>
    <col min="6" max="6" width="39.75" customWidth="1"/>
    <col min="7" max="7" width="54.75" customWidth="1"/>
  </cols>
  <sheetData>
    <row r="1" spans="1:7" ht="30" customHeight="1">
      <c r="A1" s="63" t="s">
        <v>52</v>
      </c>
      <c r="B1" s="64"/>
      <c r="C1" s="64"/>
      <c r="D1" s="64"/>
      <c r="E1" s="64"/>
      <c r="F1" s="64"/>
      <c r="G1" s="64"/>
    </row>
    <row r="2" spans="1:7">
      <c r="A2" s="22" t="s">
        <v>53</v>
      </c>
      <c r="B2" s="33"/>
      <c r="C2" s="33"/>
      <c r="D2" s="33"/>
      <c r="E2" s="33"/>
      <c r="F2" s="33"/>
      <c r="G2" s="33"/>
    </row>
    <row r="3" spans="1:7">
      <c r="A3" s="33" t="s">
        <v>54</v>
      </c>
      <c r="B3" s="33"/>
      <c r="C3" s="33"/>
      <c r="D3" s="33"/>
      <c r="E3" s="33"/>
      <c r="F3" s="33"/>
      <c r="G3" s="33"/>
    </row>
    <row r="4" spans="1:7">
      <c r="A4" s="33" t="s">
        <v>55</v>
      </c>
      <c r="B4" s="33"/>
      <c r="C4" s="33"/>
      <c r="D4" s="33"/>
      <c r="E4" s="33"/>
      <c r="F4" s="33"/>
      <c r="G4" s="33"/>
    </row>
    <row r="5" spans="1:7">
      <c r="A5" s="33" t="s">
        <v>56</v>
      </c>
      <c r="B5" s="33"/>
      <c r="C5" s="33"/>
      <c r="D5" s="33"/>
      <c r="E5" s="33"/>
      <c r="F5" s="33"/>
      <c r="G5" s="33"/>
    </row>
    <row r="6" spans="1:7">
      <c r="A6" s="33" t="s">
        <v>57</v>
      </c>
      <c r="B6" s="33"/>
      <c r="C6" s="33"/>
      <c r="D6" s="33"/>
      <c r="E6" s="33"/>
      <c r="F6" s="33"/>
      <c r="G6" s="33"/>
    </row>
    <row r="7" spans="1:7">
      <c r="A7" s="33" t="s">
        <v>58</v>
      </c>
      <c r="B7" s="33"/>
      <c r="C7" s="33"/>
      <c r="D7" s="33"/>
      <c r="E7" s="33"/>
      <c r="F7" s="33"/>
      <c r="G7" s="33"/>
    </row>
    <row r="8" spans="1:7">
      <c r="A8" s="33" t="s">
        <v>59</v>
      </c>
      <c r="B8" s="33"/>
      <c r="C8" s="33"/>
      <c r="D8" s="33"/>
      <c r="E8" s="33"/>
      <c r="F8" s="33"/>
      <c r="G8" s="33"/>
    </row>
    <row r="9" spans="1:7">
      <c r="A9" s="33" t="s">
        <v>60</v>
      </c>
      <c r="B9" s="33"/>
      <c r="C9" s="33"/>
      <c r="D9" s="33"/>
      <c r="E9" s="33"/>
      <c r="F9" s="33"/>
      <c r="G9" s="33"/>
    </row>
    <row r="10" spans="1:7">
      <c r="A10" s="33" t="s">
        <v>61</v>
      </c>
      <c r="B10" s="33"/>
      <c r="C10" s="33"/>
      <c r="D10" s="33"/>
      <c r="E10" s="33"/>
      <c r="F10" s="33"/>
      <c r="G10" s="33"/>
    </row>
    <row r="11" spans="1:7">
      <c r="A11" s="33"/>
      <c r="B11" s="33"/>
      <c r="C11" s="33"/>
      <c r="D11" s="33"/>
      <c r="E11" s="33"/>
      <c r="F11" s="33"/>
      <c r="G11" s="33"/>
    </row>
    <row r="12" spans="1:7">
      <c r="A12" s="22" t="s">
        <v>62</v>
      </c>
    </row>
    <row r="13" spans="1:7" ht="21.75" customHeight="1">
      <c r="A13" s="53" t="s">
        <v>63</v>
      </c>
      <c r="B13" s="53" t="s">
        <v>64</v>
      </c>
      <c r="C13" s="53" t="s">
        <v>65</v>
      </c>
      <c r="D13" s="53" t="s">
        <v>66</v>
      </c>
      <c r="E13" s="53" t="s">
        <v>67</v>
      </c>
      <c r="F13" s="53" t="s">
        <v>68</v>
      </c>
      <c r="G13" s="53" t="s">
        <v>69</v>
      </c>
    </row>
    <row r="14" spans="1:7" ht="20.25" customHeight="1">
      <c r="A14" s="55" t="s">
        <v>70</v>
      </c>
      <c r="B14" s="55" t="s">
        <v>27</v>
      </c>
      <c r="C14" s="55" t="s">
        <v>71</v>
      </c>
      <c r="D14" s="56" t="s">
        <v>72</v>
      </c>
      <c r="E14" s="55" t="s">
        <v>73</v>
      </c>
      <c r="F14" s="55" t="s">
        <v>74</v>
      </c>
      <c r="G14" s="55" t="s">
        <v>75</v>
      </c>
    </row>
    <row r="15" spans="1:7" ht="20.25" customHeight="1">
      <c r="A15" s="57" t="s">
        <v>70</v>
      </c>
      <c r="B15" s="57" t="s">
        <v>28</v>
      </c>
      <c r="C15" s="57" t="s">
        <v>71</v>
      </c>
      <c r="D15" s="58" t="s">
        <v>72</v>
      </c>
      <c r="E15" s="57" t="s">
        <v>76</v>
      </c>
      <c r="F15" s="57" t="s">
        <v>77</v>
      </c>
      <c r="G15" s="57" t="s">
        <v>78</v>
      </c>
    </row>
    <row r="16" spans="1:7" ht="20.25" customHeight="1">
      <c r="A16" s="55" t="s">
        <v>70</v>
      </c>
      <c r="B16" s="55" t="s">
        <v>29</v>
      </c>
      <c r="C16" s="55" t="s">
        <v>79</v>
      </c>
      <c r="D16" s="56" t="s">
        <v>72</v>
      </c>
      <c r="E16" s="55" t="s">
        <v>80</v>
      </c>
      <c r="F16" s="55" t="s">
        <v>80</v>
      </c>
      <c r="G16" s="55" t="s">
        <v>81</v>
      </c>
    </row>
    <row r="17" spans="1:7" ht="20.25" customHeight="1">
      <c r="A17" s="57" t="s">
        <v>70</v>
      </c>
      <c r="B17" s="57" t="s">
        <v>30</v>
      </c>
      <c r="C17" s="57" t="s">
        <v>82</v>
      </c>
      <c r="D17" s="58" t="s">
        <v>72</v>
      </c>
      <c r="E17" s="57" t="s">
        <v>83</v>
      </c>
      <c r="F17" s="57" t="s">
        <v>84</v>
      </c>
      <c r="G17" s="57" t="s">
        <v>85</v>
      </c>
    </row>
    <row r="18" spans="1:7" ht="20.25" customHeight="1">
      <c r="A18" s="55" t="s">
        <v>70</v>
      </c>
      <c r="B18" s="55" t="s">
        <v>31</v>
      </c>
      <c r="C18" s="55" t="s">
        <v>86</v>
      </c>
      <c r="D18" s="56" t="s">
        <v>72</v>
      </c>
      <c r="E18" s="55" t="s">
        <v>87</v>
      </c>
      <c r="F18" s="55" t="s">
        <v>88</v>
      </c>
      <c r="G18" s="55" t="s">
        <v>89</v>
      </c>
    </row>
    <row r="19" spans="1:7" ht="20.25" customHeight="1">
      <c r="A19" s="57" t="s">
        <v>70</v>
      </c>
      <c r="B19" s="57" t="s">
        <v>32</v>
      </c>
      <c r="C19" s="57" t="s">
        <v>90</v>
      </c>
      <c r="D19" s="58" t="s">
        <v>72</v>
      </c>
      <c r="E19" s="57" t="s">
        <v>91</v>
      </c>
      <c r="F19" s="57" t="s">
        <v>92</v>
      </c>
      <c r="G19" s="57" t="s">
        <v>93</v>
      </c>
    </row>
    <row r="20" spans="1:7" ht="33.75" customHeight="1">
      <c r="A20" s="55" t="s">
        <v>70</v>
      </c>
      <c r="B20" s="55" t="s">
        <v>33</v>
      </c>
      <c r="C20" s="55" t="s">
        <v>94</v>
      </c>
      <c r="D20" s="56" t="s">
        <v>95</v>
      </c>
      <c r="E20" s="55" t="s">
        <v>96</v>
      </c>
      <c r="F20" s="55" t="s">
        <v>97</v>
      </c>
      <c r="G20" s="55" t="s">
        <v>98</v>
      </c>
    </row>
    <row r="21" spans="1:7" ht="20.25" customHeight="1">
      <c r="A21" s="57" t="s">
        <v>70</v>
      </c>
      <c r="B21" s="57" t="s">
        <v>34</v>
      </c>
      <c r="C21" s="57" t="s">
        <v>99</v>
      </c>
      <c r="D21" s="58" t="s">
        <v>72</v>
      </c>
      <c r="E21" s="57" t="s">
        <v>100</v>
      </c>
      <c r="F21" s="57">
        <v>100000000</v>
      </c>
      <c r="G21" s="57" t="s">
        <v>101</v>
      </c>
    </row>
    <row r="22" spans="1:7" ht="20.25" customHeight="1">
      <c r="A22" s="55" t="s">
        <v>70</v>
      </c>
      <c r="B22" s="55" t="s">
        <v>35</v>
      </c>
      <c r="C22" s="55" t="s">
        <v>71</v>
      </c>
      <c r="D22" s="56" t="s">
        <v>102</v>
      </c>
      <c r="E22" s="55" t="s">
        <v>103</v>
      </c>
      <c r="F22" s="55">
        <v>100000</v>
      </c>
      <c r="G22" s="55" t="s">
        <v>104</v>
      </c>
    </row>
    <row r="23" spans="1:7" ht="20.25" customHeight="1">
      <c r="A23" s="57" t="s">
        <v>70</v>
      </c>
      <c r="B23" s="57" t="s">
        <v>36</v>
      </c>
      <c r="C23" s="57" t="s">
        <v>105</v>
      </c>
      <c r="D23" s="58" t="s">
        <v>106</v>
      </c>
      <c r="E23" s="57" t="s">
        <v>107</v>
      </c>
      <c r="F23" s="57" t="s">
        <v>108</v>
      </c>
      <c r="G23" s="57" t="s">
        <v>109</v>
      </c>
    </row>
    <row r="24" spans="1:7" ht="20.25" customHeight="1">
      <c r="A24" s="55" t="s">
        <v>70</v>
      </c>
      <c r="B24" s="55" t="s">
        <v>37</v>
      </c>
      <c r="C24" s="55" t="s">
        <v>71</v>
      </c>
      <c r="D24" s="56" t="s">
        <v>106</v>
      </c>
      <c r="E24" s="55" t="s">
        <v>110</v>
      </c>
      <c r="F24" s="55"/>
      <c r="G24" s="55" t="s">
        <v>111</v>
      </c>
    </row>
    <row r="25" spans="1:7" ht="20.25" customHeight="1">
      <c r="A25" s="57" t="s">
        <v>70</v>
      </c>
      <c r="B25" s="57" t="s">
        <v>112</v>
      </c>
      <c r="C25" s="57" t="s">
        <v>71</v>
      </c>
      <c r="D25" s="58" t="s">
        <v>102</v>
      </c>
      <c r="E25" s="57" t="s">
        <v>103</v>
      </c>
      <c r="F25" s="57" t="s">
        <v>113</v>
      </c>
      <c r="G25" s="57" t="s">
        <v>114</v>
      </c>
    </row>
    <row r="26" spans="1:7" ht="20.25" customHeight="1">
      <c r="A26" s="54" t="s">
        <v>115</v>
      </c>
      <c r="B26" s="54" t="s">
        <v>116</v>
      </c>
      <c r="C26" s="54" t="s">
        <v>71</v>
      </c>
      <c r="D26" s="6" t="s">
        <v>71</v>
      </c>
      <c r="E26" s="54" t="s">
        <v>117</v>
      </c>
      <c r="F26" s="54" t="s">
        <v>113</v>
      </c>
      <c r="G26" s="54" t="s">
        <v>118</v>
      </c>
    </row>
    <row r="27" spans="1:7" ht="20.25" customHeight="1">
      <c r="A27" s="24" t="s">
        <v>119</v>
      </c>
      <c r="B27" s="24" t="s">
        <v>120</v>
      </c>
      <c r="C27" s="24" t="s">
        <v>121</v>
      </c>
      <c r="D27" s="7" t="s">
        <v>72</v>
      </c>
      <c r="E27" s="24" t="s">
        <v>122</v>
      </c>
      <c r="F27" s="24" t="s">
        <v>123</v>
      </c>
      <c r="G27" s="24" t="s">
        <v>124</v>
      </c>
    </row>
    <row r="28" spans="1:7" ht="20.25" customHeight="1">
      <c r="A28" s="23" t="s">
        <v>119</v>
      </c>
      <c r="B28" s="23" t="s">
        <v>19</v>
      </c>
      <c r="C28" s="23">
        <v>9</v>
      </c>
      <c r="D28" s="8" t="s">
        <v>72</v>
      </c>
      <c r="E28" s="23" t="s">
        <v>107</v>
      </c>
      <c r="F28" s="23" t="s">
        <v>108</v>
      </c>
      <c r="G28" s="23" t="s">
        <v>125</v>
      </c>
    </row>
    <row r="29" spans="1:7" ht="20.25" customHeight="1">
      <c r="A29" s="24" t="s">
        <v>119</v>
      </c>
      <c r="B29" s="24" t="s">
        <v>21</v>
      </c>
      <c r="C29" s="24">
        <v>10</v>
      </c>
      <c r="D29" s="7" t="s">
        <v>72</v>
      </c>
      <c r="E29" s="24" t="s">
        <v>126</v>
      </c>
      <c r="F29" s="24" t="s">
        <v>127</v>
      </c>
      <c r="G29" s="24" t="s">
        <v>128</v>
      </c>
    </row>
    <row r="30" spans="1:7">
      <c r="A30" s="1"/>
      <c r="B30" s="1"/>
      <c r="C30" s="1"/>
      <c r="D30" s="1"/>
      <c r="E30" s="1"/>
      <c r="F30" s="1"/>
      <c r="G30" s="1"/>
    </row>
    <row r="31" spans="1:7">
      <c r="A31" s="22" t="s">
        <v>129</v>
      </c>
      <c r="B31" s="1"/>
      <c r="C31" s="1"/>
      <c r="D31" s="1"/>
      <c r="E31" s="1"/>
      <c r="F31" s="1"/>
      <c r="G31" s="1"/>
    </row>
    <row r="32" spans="1:7">
      <c r="A32" s="1" t="s">
        <v>130</v>
      </c>
      <c r="B32" s="1"/>
      <c r="C32" s="1"/>
      <c r="D32" s="1"/>
      <c r="E32" s="1"/>
      <c r="F32" s="1"/>
      <c r="G32" s="1"/>
    </row>
    <row r="33" spans="1:7">
      <c r="A33" s="1" t="s">
        <v>131</v>
      </c>
      <c r="B33" s="1"/>
      <c r="C33" s="1"/>
      <c r="D33" s="1"/>
      <c r="E33" s="1"/>
      <c r="F33" s="1"/>
      <c r="G33" s="1"/>
    </row>
    <row r="34" spans="1:7">
      <c r="A34" s="1" t="s">
        <v>132</v>
      </c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22" t="s">
        <v>133</v>
      </c>
      <c r="B36" s="1"/>
      <c r="C36" s="1"/>
      <c r="D36" s="1"/>
      <c r="E36" s="1"/>
      <c r="F36" s="1"/>
      <c r="G36" s="1"/>
    </row>
    <row r="37" spans="1:7">
      <c r="A37" s="25" t="s">
        <v>134</v>
      </c>
      <c r="B37" s="1" t="s">
        <v>135</v>
      </c>
      <c r="C37" s="1"/>
      <c r="D37" s="1"/>
      <c r="E37" s="1"/>
      <c r="F37" s="1"/>
      <c r="G37" s="1"/>
    </row>
  </sheetData>
  <mergeCells count="1">
    <mergeCell ref="A1:G1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78"/>
  <sheetViews>
    <sheetView workbookViewId="0">
      <pane ySplit="3" topLeftCell="A4" activePane="bottomLeft" state="frozen"/>
      <selection pane="bottomLeft" sqref="A1:AQ1"/>
    </sheetView>
  </sheetViews>
  <sheetFormatPr defaultRowHeight="17"/>
  <cols>
    <col min="1" max="1" width="72" customWidth="1"/>
    <col min="2" max="2" width="27.83203125" customWidth="1"/>
    <col min="3" max="3" width="14.83203125" customWidth="1"/>
    <col min="4" max="4" width="16.4140625" customWidth="1"/>
    <col min="5" max="6" width="24.83203125" customWidth="1"/>
    <col min="7" max="7" width="54" customWidth="1"/>
    <col min="8" max="8" width="24.83203125" customWidth="1"/>
    <col min="9" max="9" width="32.1640625" customWidth="1"/>
    <col min="10" max="10" width="23.75" customWidth="1"/>
    <col min="11" max="11" width="41.25" customWidth="1"/>
    <col min="12" max="12" width="23.75" customWidth="1"/>
    <col min="13" max="13" width="27.83203125" customWidth="1"/>
    <col min="14" max="14" width="23.83203125" customWidth="1"/>
    <col min="15" max="15" width="35.25" customWidth="1"/>
    <col min="16" max="16" width="22.75" customWidth="1"/>
    <col min="17" max="17" width="31.83203125" customWidth="1"/>
    <col min="18" max="18" width="23.75" customWidth="1"/>
    <col min="19" max="19" width="27.83203125" customWidth="1"/>
    <col min="20" max="20" width="24.25" customWidth="1"/>
    <col min="21" max="21" width="25.83203125" customWidth="1"/>
    <col min="22" max="22" width="23.75" customWidth="1"/>
    <col min="23" max="23" width="27.83203125" customWidth="1"/>
    <col min="24" max="24" width="23.75" customWidth="1"/>
    <col min="25" max="25" width="31.58203125" customWidth="1"/>
    <col min="26" max="26" width="34.4140625" customWidth="1"/>
    <col min="27" max="28" width="31.83203125" customWidth="1"/>
    <col min="29" max="29" width="31.58203125" customWidth="1"/>
    <col min="30" max="30" width="23.75" customWidth="1"/>
    <col min="31" max="32" width="31.83203125" customWidth="1"/>
    <col min="33" max="33" width="42.58203125" customWidth="1"/>
    <col min="34" max="34" width="23.75" customWidth="1"/>
    <col min="35" max="35" width="27.83203125" customWidth="1"/>
    <col min="36" max="36" width="18" customWidth="1"/>
    <col min="37" max="37" width="31.58203125" customWidth="1"/>
    <col min="38" max="38" width="23.75" customWidth="1"/>
    <col min="39" max="39" width="31.58203125" customWidth="1"/>
    <col min="40" max="40" width="23.75" customWidth="1"/>
    <col min="41" max="41" width="31.58203125" customWidth="1"/>
    <col min="42" max="42" width="23.75" customWidth="1"/>
    <col min="43" max="43" width="25.83203125" customWidth="1"/>
    <col min="44" max="44" width="3.75" customWidth="1"/>
    <col min="45" max="45" width="72" customWidth="1"/>
    <col min="46" max="46" width="8.75" customWidth="1"/>
    <col min="47" max="47" width="3.75" customWidth="1"/>
    <col min="48" max="48" width="27.83203125" customWidth="1"/>
    <col min="49" max="49" width="8.75" customWidth="1"/>
    <col min="50" max="50" width="3.75" customWidth="1"/>
    <col min="51" max="51" width="24.83203125" customWidth="1"/>
    <col min="52" max="52" width="8.75" customWidth="1"/>
  </cols>
  <sheetData>
    <row r="1" spans="1:52" ht="27.75" customHeight="1">
      <c r="A1" s="65" t="s">
        <v>136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</row>
    <row r="2" spans="1:52" ht="14.25" customHeight="1">
      <c r="A2" s="32" t="s">
        <v>137</v>
      </c>
      <c r="B2" s="32" t="s">
        <v>138</v>
      </c>
      <c r="C2" s="32" t="s">
        <v>139</v>
      </c>
      <c r="D2" s="32" t="s">
        <v>140</v>
      </c>
      <c r="E2" s="32" t="s">
        <v>141</v>
      </c>
      <c r="F2" s="32" t="s">
        <v>142</v>
      </c>
      <c r="G2" s="32" t="s">
        <v>143</v>
      </c>
      <c r="H2" s="32" t="s">
        <v>144</v>
      </c>
      <c r="I2" s="32" t="s">
        <v>145</v>
      </c>
      <c r="J2" s="32" t="s">
        <v>146</v>
      </c>
      <c r="K2" s="32" t="s">
        <v>147</v>
      </c>
      <c r="L2" s="32" t="s">
        <v>148</v>
      </c>
      <c r="M2" s="32" t="s">
        <v>149</v>
      </c>
      <c r="N2" s="32" t="s">
        <v>150</v>
      </c>
      <c r="O2" s="32" t="s">
        <v>151</v>
      </c>
      <c r="P2" s="32" t="s">
        <v>152</v>
      </c>
      <c r="Q2" s="32" t="s">
        <v>153</v>
      </c>
      <c r="R2" s="32" t="s">
        <v>154</v>
      </c>
      <c r="S2" s="32" t="s">
        <v>155</v>
      </c>
      <c r="T2" s="32" t="s">
        <v>156</v>
      </c>
      <c r="U2" s="32" t="s">
        <v>157</v>
      </c>
      <c r="V2" s="32" t="s">
        <v>158</v>
      </c>
      <c r="W2" s="32" t="s">
        <v>159</v>
      </c>
      <c r="X2" s="32" t="s">
        <v>160</v>
      </c>
      <c r="Y2" s="32" t="s">
        <v>161</v>
      </c>
      <c r="Z2" s="32" t="s">
        <v>162</v>
      </c>
      <c r="AA2" s="32" t="s">
        <v>163</v>
      </c>
      <c r="AB2" s="32" t="s">
        <v>164</v>
      </c>
      <c r="AC2" s="32" t="s">
        <v>165</v>
      </c>
      <c r="AD2" s="32" t="s">
        <v>166</v>
      </c>
      <c r="AE2" s="32" t="s">
        <v>167</v>
      </c>
      <c r="AF2" s="32" t="s">
        <v>168</v>
      </c>
      <c r="AG2" s="32" t="s">
        <v>113</v>
      </c>
      <c r="AH2" s="32" t="s">
        <v>169</v>
      </c>
      <c r="AI2" s="32" t="s">
        <v>170</v>
      </c>
      <c r="AJ2" s="32" t="s">
        <v>171</v>
      </c>
      <c r="AK2" s="32" t="s">
        <v>172</v>
      </c>
      <c r="AL2" s="32" t="s">
        <v>173</v>
      </c>
      <c r="AM2" s="32" t="s">
        <v>174</v>
      </c>
      <c r="AN2" s="32" t="s">
        <v>175</v>
      </c>
      <c r="AO2" s="32" t="s">
        <v>176</v>
      </c>
      <c r="AP2" s="32" t="s">
        <v>177</v>
      </c>
      <c r="AQ2" s="32" t="s">
        <v>178</v>
      </c>
      <c r="AR2" s="32"/>
      <c r="AS2" s="32" t="s">
        <v>179</v>
      </c>
      <c r="AT2" s="32"/>
      <c r="AU2" s="32"/>
      <c r="AV2" s="32" t="s">
        <v>180</v>
      </c>
      <c r="AW2" s="32"/>
      <c r="AX2" s="32"/>
      <c r="AY2" s="32" t="s">
        <v>181</v>
      </c>
      <c r="AZ2" s="32"/>
    </row>
    <row r="3" spans="1:52" ht="48" customHeight="1">
      <c r="A3" s="4" t="s">
        <v>182</v>
      </c>
      <c r="B3" s="4" t="s">
        <v>183</v>
      </c>
      <c r="C3" s="4" t="s">
        <v>184</v>
      </c>
      <c r="D3" s="4" t="s">
        <v>185</v>
      </c>
      <c r="E3" s="4" t="s">
        <v>186</v>
      </c>
      <c r="F3" s="4" t="s">
        <v>187</v>
      </c>
      <c r="G3" s="4" t="s">
        <v>188</v>
      </c>
      <c r="H3" s="4" t="s">
        <v>189</v>
      </c>
      <c r="I3" s="4" t="s">
        <v>190</v>
      </c>
      <c r="J3" s="4" t="s">
        <v>191</v>
      </c>
      <c r="K3" s="4" t="s">
        <v>192</v>
      </c>
      <c r="L3" s="4" t="s">
        <v>193</v>
      </c>
      <c r="M3" s="4" t="s">
        <v>194</v>
      </c>
      <c r="N3" s="4" t="s">
        <v>195</v>
      </c>
      <c r="O3" s="4" t="s">
        <v>196</v>
      </c>
      <c r="P3" s="4" t="s">
        <v>197</v>
      </c>
      <c r="Q3" s="4" t="s">
        <v>198</v>
      </c>
      <c r="R3" s="4" t="s">
        <v>199</v>
      </c>
      <c r="S3" s="4" t="s">
        <v>200</v>
      </c>
      <c r="T3" s="4" t="s">
        <v>201</v>
      </c>
      <c r="U3" s="4" t="s">
        <v>202</v>
      </c>
      <c r="V3" s="4" t="s">
        <v>203</v>
      </c>
      <c r="W3" s="4" t="s">
        <v>204</v>
      </c>
      <c r="X3" s="4" t="s">
        <v>205</v>
      </c>
      <c r="Y3" s="4" t="s">
        <v>206</v>
      </c>
      <c r="Z3" s="4" t="s">
        <v>207</v>
      </c>
      <c r="AA3" s="4" t="s">
        <v>208</v>
      </c>
      <c r="AB3" s="4" t="s">
        <v>209</v>
      </c>
      <c r="AC3" s="4" t="s">
        <v>210</v>
      </c>
      <c r="AD3" s="4" t="s">
        <v>211</v>
      </c>
      <c r="AE3" s="4" t="s">
        <v>212</v>
      </c>
      <c r="AF3" s="4" t="s">
        <v>213</v>
      </c>
      <c r="AG3" s="4" t="s">
        <v>214</v>
      </c>
      <c r="AH3" s="4" t="s">
        <v>215</v>
      </c>
      <c r="AI3" s="4" t="s">
        <v>216</v>
      </c>
      <c r="AJ3" s="4" t="s">
        <v>217</v>
      </c>
      <c r="AK3" s="4" t="s">
        <v>218</v>
      </c>
      <c r="AL3" s="4" t="s">
        <v>219</v>
      </c>
      <c r="AM3" s="4" t="s">
        <v>220</v>
      </c>
      <c r="AN3" s="4" t="s">
        <v>221</v>
      </c>
      <c r="AO3" s="4" t="s">
        <v>222</v>
      </c>
      <c r="AP3" s="4" t="s">
        <v>223</v>
      </c>
      <c r="AQ3" s="4" t="s">
        <v>224</v>
      </c>
      <c r="AR3" s="30"/>
      <c r="AS3" s="26" t="s">
        <v>225</v>
      </c>
      <c r="AT3" s="34" t="s">
        <v>226</v>
      </c>
      <c r="AU3" s="30"/>
      <c r="AV3" s="26" t="s">
        <v>227</v>
      </c>
      <c r="AW3" s="34" t="s">
        <v>226</v>
      </c>
      <c r="AX3" s="30"/>
      <c r="AY3" s="26" t="s">
        <v>228</v>
      </c>
      <c r="AZ3" s="34" t="s">
        <v>226</v>
      </c>
    </row>
    <row r="4" spans="1:52">
      <c r="A4" s="47" t="s">
        <v>80</v>
      </c>
      <c r="B4" s="47" t="s">
        <v>84</v>
      </c>
      <c r="C4" s="47" t="s">
        <v>229</v>
      </c>
      <c r="D4" s="47" t="s">
        <v>229</v>
      </c>
      <c r="E4" s="47" t="s">
        <v>88</v>
      </c>
      <c r="F4" s="47" t="s">
        <v>88</v>
      </c>
      <c r="G4" s="47" t="s">
        <v>230</v>
      </c>
      <c r="H4" s="47" t="s">
        <v>88</v>
      </c>
      <c r="I4" s="47" t="s">
        <v>231</v>
      </c>
      <c r="J4" s="47" t="s">
        <v>232</v>
      </c>
      <c r="K4" s="47" t="s">
        <v>233</v>
      </c>
      <c r="L4" s="47" t="s">
        <v>234</v>
      </c>
      <c r="M4" s="47" t="s">
        <v>235</v>
      </c>
      <c r="N4" s="47" t="s">
        <v>232</v>
      </c>
      <c r="O4" s="47" t="s">
        <v>231</v>
      </c>
      <c r="P4" s="47" t="s">
        <v>236</v>
      </c>
      <c r="Q4" s="47" t="s">
        <v>233</v>
      </c>
      <c r="R4" s="47" t="s">
        <v>237</v>
      </c>
      <c r="S4" s="47" t="s">
        <v>235</v>
      </c>
      <c r="T4" s="47" t="s">
        <v>236</v>
      </c>
      <c r="U4" s="47" t="s">
        <v>238</v>
      </c>
      <c r="V4" s="47" t="s">
        <v>232</v>
      </c>
      <c r="W4" s="47" t="s">
        <v>235</v>
      </c>
      <c r="X4" s="47" t="s">
        <v>232</v>
      </c>
      <c r="Y4" s="47" t="s">
        <v>239</v>
      </c>
      <c r="Z4" s="47" t="s">
        <v>240</v>
      </c>
      <c r="AA4" s="47" t="s">
        <v>241</v>
      </c>
      <c r="AB4" s="47" t="s">
        <v>241</v>
      </c>
      <c r="AC4" s="47" t="s">
        <v>239</v>
      </c>
      <c r="AD4" s="47" t="s">
        <v>232</v>
      </c>
      <c r="AE4" s="47" t="s">
        <v>241</v>
      </c>
      <c r="AF4" s="47" t="s">
        <v>241</v>
      </c>
      <c r="AG4" s="47" t="s">
        <v>242</v>
      </c>
      <c r="AH4" s="47" t="s">
        <v>232</v>
      </c>
      <c r="AI4" s="47" t="s">
        <v>243</v>
      </c>
      <c r="AJ4" s="47" t="s">
        <v>236</v>
      </c>
      <c r="AK4" s="47" t="s">
        <v>239</v>
      </c>
      <c r="AL4" s="47" t="s">
        <v>232</v>
      </c>
      <c r="AM4" s="47" t="s">
        <v>239</v>
      </c>
      <c r="AN4" s="47" t="s">
        <v>232</v>
      </c>
      <c r="AO4" s="47" t="s">
        <v>239</v>
      </c>
      <c r="AP4" s="47" t="s">
        <v>237</v>
      </c>
      <c r="AQ4" s="47" t="s">
        <v>244</v>
      </c>
      <c r="AR4" s="30"/>
      <c r="AS4" s="38" t="s">
        <v>80</v>
      </c>
      <c r="AT4" s="39" t="s">
        <v>245</v>
      </c>
      <c r="AU4" s="30"/>
      <c r="AV4" s="38" t="s">
        <v>246</v>
      </c>
      <c r="AW4" s="39" t="s">
        <v>247</v>
      </c>
      <c r="AX4" s="30"/>
      <c r="AY4" s="38" t="s">
        <v>88</v>
      </c>
      <c r="AZ4" s="39" t="s">
        <v>248</v>
      </c>
    </row>
    <row r="5" spans="1:52">
      <c r="A5" s="46" t="s">
        <v>249</v>
      </c>
      <c r="B5" s="46" t="s">
        <v>246</v>
      </c>
      <c r="C5" s="46"/>
      <c r="D5" s="46"/>
      <c r="E5" s="46" t="s">
        <v>250</v>
      </c>
      <c r="F5" s="46" t="s">
        <v>251</v>
      </c>
      <c r="G5" s="46"/>
      <c r="H5" s="46" t="s">
        <v>251</v>
      </c>
      <c r="I5" s="46" t="s">
        <v>252</v>
      </c>
      <c r="J5" s="46" t="s">
        <v>253</v>
      </c>
      <c r="K5" s="46"/>
      <c r="L5" s="46" t="s">
        <v>237</v>
      </c>
      <c r="M5" s="46" t="s">
        <v>254</v>
      </c>
      <c r="N5" s="46" t="s">
        <v>253</v>
      </c>
      <c r="O5" s="46" t="s">
        <v>255</v>
      </c>
      <c r="P5" s="46" t="s">
        <v>256</v>
      </c>
      <c r="Q5" s="46"/>
      <c r="R5" s="46" t="s">
        <v>257</v>
      </c>
      <c r="S5" s="46" t="s">
        <v>254</v>
      </c>
      <c r="T5" s="46" t="s">
        <v>256</v>
      </c>
      <c r="U5" s="46" t="s">
        <v>258</v>
      </c>
      <c r="V5" s="46" t="s">
        <v>253</v>
      </c>
      <c r="W5" s="46" t="s">
        <v>254</v>
      </c>
      <c r="X5" s="46" t="s">
        <v>253</v>
      </c>
      <c r="Y5" s="46"/>
      <c r="Z5" s="46"/>
      <c r="AA5" s="46"/>
      <c r="AB5" s="46"/>
      <c r="AC5" s="46"/>
      <c r="AD5" s="46" t="s">
        <v>253</v>
      </c>
      <c r="AE5" s="46"/>
      <c r="AF5" s="46"/>
      <c r="AG5" s="46" t="s">
        <v>243</v>
      </c>
      <c r="AH5" s="46" t="s">
        <v>253</v>
      </c>
      <c r="AI5" s="46" t="s">
        <v>259</v>
      </c>
      <c r="AJ5" s="46" t="s">
        <v>256</v>
      </c>
      <c r="AK5" s="46"/>
      <c r="AL5" s="46" t="s">
        <v>253</v>
      </c>
      <c r="AM5" s="46"/>
      <c r="AN5" s="46" t="s">
        <v>253</v>
      </c>
      <c r="AO5" s="46"/>
      <c r="AP5" s="46" t="s">
        <v>257</v>
      </c>
      <c r="AQ5" s="46"/>
      <c r="AR5" s="30"/>
      <c r="AS5" s="37" t="s">
        <v>249</v>
      </c>
      <c r="AT5" s="42" t="s">
        <v>260</v>
      </c>
      <c r="AU5" s="30"/>
      <c r="AV5" s="37" t="s">
        <v>84</v>
      </c>
      <c r="AW5" s="42" t="s">
        <v>261</v>
      </c>
      <c r="AX5" s="30"/>
      <c r="AY5" s="37" t="s">
        <v>250</v>
      </c>
      <c r="AZ5" s="42" t="s">
        <v>262</v>
      </c>
    </row>
    <row r="6" spans="1:52">
      <c r="A6" s="45" t="s">
        <v>263</v>
      </c>
      <c r="B6" s="45" t="s">
        <v>264</v>
      </c>
      <c r="C6" s="45"/>
      <c r="D6" s="45"/>
      <c r="E6" s="45" t="s">
        <v>265</v>
      </c>
      <c r="F6" s="45" t="s">
        <v>266</v>
      </c>
      <c r="G6" s="45"/>
      <c r="H6" s="45" t="s">
        <v>265</v>
      </c>
      <c r="I6" s="45" t="s">
        <v>255</v>
      </c>
      <c r="J6" s="45" t="s">
        <v>234</v>
      </c>
      <c r="K6" s="45"/>
      <c r="L6" s="45" t="s">
        <v>257</v>
      </c>
      <c r="M6" s="45" t="s">
        <v>267</v>
      </c>
      <c r="N6" s="45" t="s">
        <v>268</v>
      </c>
      <c r="O6" s="45" t="s">
        <v>269</v>
      </c>
      <c r="P6" s="45" t="s">
        <v>270</v>
      </c>
      <c r="Q6" s="45"/>
      <c r="R6" s="45" t="s">
        <v>97</v>
      </c>
      <c r="S6" s="45" t="s">
        <v>267</v>
      </c>
      <c r="T6" s="45" t="s">
        <v>270</v>
      </c>
      <c r="U6" s="45" t="s">
        <v>271</v>
      </c>
      <c r="V6" s="45" t="s">
        <v>234</v>
      </c>
      <c r="W6" s="45" t="s">
        <v>267</v>
      </c>
      <c r="X6" s="45" t="s">
        <v>268</v>
      </c>
      <c r="Y6" s="45"/>
      <c r="Z6" s="45"/>
      <c r="AA6" s="45"/>
      <c r="AB6" s="45"/>
      <c r="AC6" s="45"/>
      <c r="AD6" s="45" t="s">
        <v>268</v>
      </c>
      <c r="AE6" s="45"/>
      <c r="AF6" s="45"/>
      <c r="AG6" s="45" t="s">
        <v>272</v>
      </c>
      <c r="AH6" s="45" t="s">
        <v>234</v>
      </c>
      <c r="AI6" s="45" t="s">
        <v>273</v>
      </c>
      <c r="AJ6" s="45" t="s">
        <v>270</v>
      </c>
      <c r="AK6" s="45"/>
      <c r="AL6" s="45" t="s">
        <v>268</v>
      </c>
      <c r="AM6" s="45"/>
      <c r="AN6" s="45" t="s">
        <v>268</v>
      </c>
      <c r="AO6" s="45"/>
      <c r="AP6" s="45" t="s">
        <v>97</v>
      </c>
      <c r="AQ6" s="45"/>
      <c r="AR6" s="30"/>
      <c r="AS6" s="36" t="s">
        <v>263</v>
      </c>
      <c r="AT6" s="41" t="s">
        <v>274</v>
      </c>
      <c r="AU6" s="30"/>
      <c r="AV6" s="35" t="s">
        <v>264</v>
      </c>
      <c r="AW6" s="40" t="s">
        <v>275</v>
      </c>
      <c r="AX6" s="30"/>
      <c r="AY6" s="35" t="s">
        <v>265</v>
      </c>
      <c r="AZ6" s="40" t="s">
        <v>276</v>
      </c>
    </row>
    <row r="7" spans="1:52">
      <c r="A7" s="46"/>
      <c r="B7" s="46" t="s">
        <v>277</v>
      </c>
      <c r="C7" s="46"/>
      <c r="D7" s="46"/>
      <c r="E7" s="46" t="s">
        <v>251</v>
      </c>
      <c r="F7" s="46" t="s">
        <v>265</v>
      </c>
      <c r="G7" s="46"/>
      <c r="H7" s="46" t="s">
        <v>278</v>
      </c>
      <c r="I7" s="46" t="s">
        <v>269</v>
      </c>
      <c r="J7" s="46" t="s">
        <v>237</v>
      </c>
      <c r="K7" s="46"/>
      <c r="L7" s="46" t="s">
        <v>97</v>
      </c>
      <c r="M7" s="46" t="s">
        <v>279</v>
      </c>
      <c r="N7" s="46" t="s">
        <v>234</v>
      </c>
      <c r="O7" s="46" t="s">
        <v>92</v>
      </c>
      <c r="P7" s="46"/>
      <c r="Q7" s="46"/>
      <c r="R7" s="46" t="s">
        <v>280</v>
      </c>
      <c r="S7" s="46" t="s">
        <v>279</v>
      </c>
      <c r="T7" s="46"/>
      <c r="U7" s="46" t="s">
        <v>281</v>
      </c>
      <c r="V7" s="46" t="s">
        <v>237</v>
      </c>
      <c r="W7" s="46" t="s">
        <v>279</v>
      </c>
      <c r="X7" s="46" t="s">
        <v>234</v>
      </c>
      <c r="Y7" s="46"/>
      <c r="Z7" s="46"/>
      <c r="AA7" s="46"/>
      <c r="AB7" s="46"/>
      <c r="AC7" s="46"/>
      <c r="AD7" s="46" t="s">
        <v>234</v>
      </c>
      <c r="AE7" s="46"/>
      <c r="AF7" s="46"/>
      <c r="AG7" s="46" t="s">
        <v>282</v>
      </c>
      <c r="AH7" s="46" t="s">
        <v>237</v>
      </c>
      <c r="AI7" s="46" t="s">
        <v>283</v>
      </c>
      <c r="AJ7" s="46"/>
      <c r="AK7" s="46"/>
      <c r="AL7" s="46" t="s">
        <v>234</v>
      </c>
      <c r="AM7" s="46"/>
      <c r="AN7" s="46" t="s">
        <v>234</v>
      </c>
      <c r="AO7" s="46"/>
      <c r="AP7" s="46" t="s">
        <v>280</v>
      </c>
      <c r="AQ7" s="46"/>
      <c r="AR7" s="30"/>
      <c r="AS7" s="30"/>
      <c r="AT7" s="30"/>
      <c r="AU7" s="30"/>
      <c r="AV7" s="43" t="s">
        <v>277</v>
      </c>
      <c r="AW7" s="44" t="s">
        <v>284</v>
      </c>
      <c r="AX7" s="30"/>
      <c r="AY7" s="37" t="s">
        <v>251</v>
      </c>
      <c r="AZ7" s="42" t="s">
        <v>285</v>
      </c>
    </row>
    <row r="8" spans="1:52">
      <c r="A8" s="45"/>
      <c r="B8" s="45"/>
      <c r="C8" s="45"/>
      <c r="D8" s="45"/>
      <c r="E8" s="45" t="s">
        <v>286</v>
      </c>
      <c r="F8" s="45" t="s">
        <v>278</v>
      </c>
      <c r="G8" s="45"/>
      <c r="H8" s="45"/>
      <c r="I8" s="45" t="s">
        <v>287</v>
      </c>
      <c r="J8" s="45" t="s">
        <v>257</v>
      </c>
      <c r="K8" s="45"/>
      <c r="L8" s="45" t="s">
        <v>288</v>
      </c>
      <c r="M8" s="45" t="s">
        <v>289</v>
      </c>
      <c r="N8" s="45" t="s">
        <v>237</v>
      </c>
      <c r="O8" s="45" t="s">
        <v>290</v>
      </c>
      <c r="P8" s="45"/>
      <c r="Q8" s="45"/>
      <c r="R8" s="45" t="s">
        <v>291</v>
      </c>
      <c r="S8" s="45" t="s">
        <v>289</v>
      </c>
      <c r="T8" s="45"/>
      <c r="U8" s="45" t="s">
        <v>292</v>
      </c>
      <c r="V8" s="45" t="s">
        <v>257</v>
      </c>
      <c r="W8" s="45" t="s">
        <v>289</v>
      </c>
      <c r="X8" s="45" t="s">
        <v>237</v>
      </c>
      <c r="Y8" s="45"/>
      <c r="Z8" s="45"/>
      <c r="AA8" s="45"/>
      <c r="AB8" s="45"/>
      <c r="AC8" s="45"/>
      <c r="AD8" s="45" t="s">
        <v>237</v>
      </c>
      <c r="AE8" s="45"/>
      <c r="AF8" s="45"/>
      <c r="AG8" s="45" t="s">
        <v>293</v>
      </c>
      <c r="AH8" s="45" t="s">
        <v>257</v>
      </c>
      <c r="AI8" s="45" t="s">
        <v>294</v>
      </c>
      <c r="AJ8" s="45"/>
      <c r="AK8" s="45"/>
      <c r="AL8" s="45" t="s">
        <v>237</v>
      </c>
      <c r="AM8" s="45"/>
      <c r="AN8" s="45" t="s">
        <v>237</v>
      </c>
      <c r="AO8" s="45"/>
      <c r="AP8" s="45" t="s">
        <v>291</v>
      </c>
      <c r="AQ8" s="45"/>
      <c r="AR8" s="30"/>
      <c r="AS8" s="30"/>
      <c r="AT8" s="30"/>
      <c r="AU8" s="30"/>
      <c r="AV8" s="30"/>
      <c r="AW8" s="30"/>
      <c r="AX8" s="30"/>
      <c r="AY8" s="35" t="s">
        <v>286</v>
      </c>
      <c r="AZ8" s="40" t="s">
        <v>295</v>
      </c>
    </row>
    <row r="9" spans="1:52">
      <c r="A9" s="46"/>
      <c r="B9" s="46"/>
      <c r="C9" s="46"/>
      <c r="D9" s="46"/>
      <c r="E9" s="46" t="s">
        <v>278</v>
      </c>
      <c r="F9" s="46"/>
      <c r="G9" s="46"/>
      <c r="H9" s="46"/>
      <c r="I9" s="46" t="s">
        <v>296</v>
      </c>
      <c r="J9" s="46" t="s">
        <v>97</v>
      </c>
      <c r="K9" s="46"/>
      <c r="L9" s="46" t="s">
        <v>297</v>
      </c>
      <c r="M9" s="46" t="s">
        <v>298</v>
      </c>
      <c r="N9" s="46" t="s">
        <v>257</v>
      </c>
      <c r="O9" s="46" t="s">
        <v>299</v>
      </c>
      <c r="P9" s="46"/>
      <c r="Q9" s="46"/>
      <c r="R9" s="46" t="s">
        <v>288</v>
      </c>
      <c r="S9" s="46" t="s">
        <v>298</v>
      </c>
      <c r="T9" s="46"/>
      <c r="U9" s="46" t="s">
        <v>300</v>
      </c>
      <c r="V9" s="46" t="s">
        <v>97</v>
      </c>
      <c r="W9" s="46" t="s">
        <v>298</v>
      </c>
      <c r="X9" s="46" t="s">
        <v>257</v>
      </c>
      <c r="Y9" s="46"/>
      <c r="Z9" s="46"/>
      <c r="AA9" s="46"/>
      <c r="AB9" s="46"/>
      <c r="AC9" s="46"/>
      <c r="AD9" s="46" t="s">
        <v>257</v>
      </c>
      <c r="AE9" s="46"/>
      <c r="AF9" s="46"/>
      <c r="AG9" s="46" t="s">
        <v>301</v>
      </c>
      <c r="AH9" s="46" t="s">
        <v>97</v>
      </c>
      <c r="AI9" s="46" t="s">
        <v>302</v>
      </c>
      <c r="AJ9" s="46"/>
      <c r="AK9" s="46"/>
      <c r="AL9" s="46" t="s">
        <v>257</v>
      </c>
      <c r="AM9" s="46"/>
      <c r="AN9" s="46" t="s">
        <v>257</v>
      </c>
      <c r="AO9" s="46"/>
      <c r="AP9" s="46" t="s">
        <v>288</v>
      </c>
      <c r="AQ9" s="46"/>
      <c r="AR9" s="30"/>
      <c r="AS9" s="30"/>
      <c r="AT9" s="30"/>
      <c r="AU9" s="30"/>
      <c r="AV9" s="30"/>
      <c r="AW9" s="30"/>
      <c r="AX9" s="30"/>
      <c r="AY9" s="37" t="s">
        <v>278</v>
      </c>
      <c r="AZ9" s="42" t="s">
        <v>303</v>
      </c>
    </row>
    <row r="10" spans="1:52">
      <c r="A10" s="45"/>
      <c r="B10" s="45"/>
      <c r="C10" s="45"/>
      <c r="D10" s="45"/>
      <c r="E10" s="45" t="s">
        <v>304</v>
      </c>
      <c r="F10" s="45"/>
      <c r="G10" s="45"/>
      <c r="H10" s="45"/>
      <c r="I10" s="45" t="s">
        <v>92</v>
      </c>
      <c r="J10" s="45" t="s">
        <v>280</v>
      </c>
      <c r="K10" s="45"/>
      <c r="L10" s="45" t="s">
        <v>305</v>
      </c>
      <c r="M10" s="45" t="s">
        <v>306</v>
      </c>
      <c r="N10" s="45" t="s">
        <v>97</v>
      </c>
      <c r="O10" s="45" t="s">
        <v>307</v>
      </c>
      <c r="P10" s="45"/>
      <c r="Q10" s="45"/>
      <c r="R10" s="45" t="s">
        <v>308</v>
      </c>
      <c r="S10" s="45" t="s">
        <v>306</v>
      </c>
      <c r="T10" s="45"/>
      <c r="U10" s="45" t="s">
        <v>309</v>
      </c>
      <c r="V10" s="45" t="s">
        <v>280</v>
      </c>
      <c r="W10" s="45" t="s">
        <v>306</v>
      </c>
      <c r="X10" s="45" t="s">
        <v>97</v>
      </c>
      <c r="Y10" s="45"/>
      <c r="Z10" s="45"/>
      <c r="AA10" s="45"/>
      <c r="AB10" s="45"/>
      <c r="AC10" s="45"/>
      <c r="AD10" s="45" t="s">
        <v>97</v>
      </c>
      <c r="AE10" s="45"/>
      <c r="AF10" s="45"/>
      <c r="AG10" s="45" t="s">
        <v>310</v>
      </c>
      <c r="AH10" s="45" t="s">
        <v>280</v>
      </c>
      <c r="AI10" s="45" t="s">
        <v>310</v>
      </c>
      <c r="AJ10" s="45"/>
      <c r="AK10" s="45"/>
      <c r="AL10" s="45" t="s">
        <v>97</v>
      </c>
      <c r="AM10" s="45"/>
      <c r="AN10" s="45" t="s">
        <v>97</v>
      </c>
      <c r="AO10" s="45"/>
      <c r="AP10" s="45" t="s">
        <v>308</v>
      </c>
      <c r="AQ10" s="45"/>
      <c r="AR10" s="30"/>
      <c r="AS10" s="30"/>
      <c r="AT10" s="30"/>
      <c r="AU10" s="30"/>
      <c r="AV10" s="30"/>
      <c r="AW10" s="30"/>
      <c r="AX10" s="30"/>
      <c r="AY10" s="35" t="s">
        <v>304</v>
      </c>
      <c r="AZ10" s="40" t="s">
        <v>311</v>
      </c>
    </row>
    <row r="11" spans="1:52">
      <c r="A11" s="46"/>
      <c r="B11" s="46"/>
      <c r="C11" s="46"/>
      <c r="D11" s="46"/>
      <c r="E11" s="46" t="s">
        <v>266</v>
      </c>
      <c r="F11" s="46"/>
      <c r="G11" s="46"/>
      <c r="H11" s="46"/>
      <c r="I11" s="46" t="s">
        <v>290</v>
      </c>
      <c r="J11" s="46" t="s">
        <v>291</v>
      </c>
      <c r="K11" s="46"/>
      <c r="L11" s="46" t="s">
        <v>312</v>
      </c>
      <c r="M11" s="46" t="s">
        <v>313</v>
      </c>
      <c r="N11" s="46" t="s">
        <v>280</v>
      </c>
      <c r="O11" s="46" t="s">
        <v>314</v>
      </c>
      <c r="P11" s="46"/>
      <c r="Q11" s="46"/>
      <c r="R11" s="46" t="s">
        <v>297</v>
      </c>
      <c r="S11" s="46" t="s">
        <v>313</v>
      </c>
      <c r="T11" s="46"/>
      <c r="U11" s="46" t="s">
        <v>315</v>
      </c>
      <c r="V11" s="46" t="s">
        <v>291</v>
      </c>
      <c r="W11" s="46" t="s">
        <v>313</v>
      </c>
      <c r="X11" s="46" t="s">
        <v>280</v>
      </c>
      <c r="Y11" s="46"/>
      <c r="Z11" s="46"/>
      <c r="AA11" s="46"/>
      <c r="AB11" s="46"/>
      <c r="AC11" s="46"/>
      <c r="AD11" s="46" t="s">
        <v>280</v>
      </c>
      <c r="AE11" s="46"/>
      <c r="AF11" s="46"/>
      <c r="AG11" s="46" t="s">
        <v>316</v>
      </c>
      <c r="AH11" s="46" t="s">
        <v>291</v>
      </c>
      <c r="AI11" s="46" t="s">
        <v>316</v>
      </c>
      <c r="AJ11" s="46"/>
      <c r="AK11" s="46"/>
      <c r="AL11" s="46" t="s">
        <v>280</v>
      </c>
      <c r="AM11" s="46"/>
      <c r="AN11" s="46" t="s">
        <v>280</v>
      </c>
      <c r="AO11" s="46"/>
      <c r="AP11" s="46" t="s">
        <v>297</v>
      </c>
      <c r="AQ11" s="46"/>
      <c r="AR11" s="30"/>
      <c r="AS11" s="30"/>
      <c r="AT11" s="30"/>
      <c r="AU11" s="30"/>
      <c r="AV11" s="30"/>
      <c r="AW11" s="30"/>
      <c r="AX11" s="30"/>
      <c r="AY11" s="43" t="s">
        <v>266</v>
      </c>
      <c r="AZ11" s="44" t="s">
        <v>317</v>
      </c>
    </row>
    <row r="12" spans="1:52">
      <c r="A12" s="45"/>
      <c r="B12" s="45"/>
      <c r="C12" s="45"/>
      <c r="D12" s="45"/>
      <c r="E12" s="45"/>
      <c r="F12" s="45"/>
      <c r="G12" s="45"/>
      <c r="H12" s="45"/>
      <c r="I12" s="45" t="s">
        <v>299</v>
      </c>
      <c r="J12" s="45" t="s">
        <v>318</v>
      </c>
      <c r="K12" s="45"/>
      <c r="L12" s="45" t="s">
        <v>319</v>
      </c>
      <c r="M12" s="45" t="s">
        <v>320</v>
      </c>
      <c r="N12" s="45" t="s">
        <v>291</v>
      </c>
      <c r="O12" s="45" t="s">
        <v>321</v>
      </c>
      <c r="P12" s="45"/>
      <c r="Q12" s="45"/>
      <c r="R12" s="45" t="s">
        <v>322</v>
      </c>
      <c r="S12" s="45" t="s">
        <v>320</v>
      </c>
      <c r="T12" s="45"/>
      <c r="U12" s="45" t="s">
        <v>323</v>
      </c>
      <c r="V12" s="45" t="s">
        <v>324</v>
      </c>
      <c r="W12" s="45" t="s">
        <v>320</v>
      </c>
      <c r="X12" s="45" t="s">
        <v>291</v>
      </c>
      <c r="Y12" s="45"/>
      <c r="Z12" s="45"/>
      <c r="AA12" s="45"/>
      <c r="AB12" s="45"/>
      <c r="AC12" s="45"/>
      <c r="AD12" s="45" t="s">
        <v>291</v>
      </c>
      <c r="AE12" s="45"/>
      <c r="AF12" s="45"/>
      <c r="AG12" s="45" t="s">
        <v>325</v>
      </c>
      <c r="AH12" s="45" t="s">
        <v>318</v>
      </c>
      <c r="AI12" s="45" t="s">
        <v>326</v>
      </c>
      <c r="AJ12" s="45"/>
      <c r="AK12" s="45"/>
      <c r="AL12" s="45" t="s">
        <v>291</v>
      </c>
      <c r="AM12" s="45"/>
      <c r="AN12" s="45" t="s">
        <v>291</v>
      </c>
      <c r="AO12" s="45"/>
      <c r="AP12" s="45" t="s">
        <v>322</v>
      </c>
      <c r="AQ12" s="45"/>
      <c r="AR12" s="30"/>
      <c r="AS12" s="30"/>
      <c r="AT12" s="30"/>
      <c r="AU12" s="30"/>
      <c r="AV12" s="30"/>
      <c r="AW12" s="30"/>
      <c r="AX12" s="30"/>
      <c r="AY12" s="30"/>
      <c r="AZ12" s="30"/>
    </row>
    <row r="13" spans="1:52">
      <c r="A13" s="46"/>
      <c r="B13" s="46"/>
      <c r="C13" s="46"/>
      <c r="D13" s="46"/>
      <c r="E13" s="46"/>
      <c r="F13" s="46"/>
      <c r="G13" s="46"/>
      <c r="H13" s="46"/>
      <c r="I13" s="46" t="s">
        <v>307</v>
      </c>
      <c r="J13" s="46" t="s">
        <v>324</v>
      </c>
      <c r="K13" s="46"/>
      <c r="L13" s="46" t="s">
        <v>232</v>
      </c>
      <c r="M13" s="46" t="s">
        <v>327</v>
      </c>
      <c r="N13" s="46" t="s">
        <v>324</v>
      </c>
      <c r="O13" s="46" t="s">
        <v>328</v>
      </c>
      <c r="P13" s="46"/>
      <c r="Q13" s="46"/>
      <c r="R13" s="46"/>
      <c r="S13" s="46" t="s">
        <v>327</v>
      </c>
      <c r="T13" s="46"/>
      <c r="U13" s="46" t="s">
        <v>329</v>
      </c>
      <c r="V13" s="46" t="s">
        <v>330</v>
      </c>
      <c r="W13" s="46" t="s">
        <v>327</v>
      </c>
      <c r="X13" s="46" t="s">
        <v>324</v>
      </c>
      <c r="Y13" s="46"/>
      <c r="Z13" s="46"/>
      <c r="AA13" s="46"/>
      <c r="AB13" s="46"/>
      <c r="AC13" s="46"/>
      <c r="AD13" s="46" t="s">
        <v>324</v>
      </c>
      <c r="AE13" s="46"/>
      <c r="AF13" s="46"/>
      <c r="AG13" s="46" t="s">
        <v>331</v>
      </c>
      <c r="AH13" s="46" t="s">
        <v>324</v>
      </c>
      <c r="AI13" s="46" t="s">
        <v>332</v>
      </c>
      <c r="AJ13" s="46"/>
      <c r="AK13" s="46"/>
      <c r="AL13" s="46" t="s">
        <v>324</v>
      </c>
      <c r="AM13" s="46"/>
      <c r="AN13" s="46" t="s">
        <v>324</v>
      </c>
      <c r="AO13" s="46"/>
      <c r="AP13" s="46" t="s">
        <v>305</v>
      </c>
      <c r="AQ13" s="46"/>
      <c r="AR13" s="30"/>
      <c r="AS13" s="30"/>
      <c r="AT13" s="30"/>
      <c r="AU13" s="30"/>
      <c r="AV13" s="30"/>
      <c r="AW13" s="30"/>
      <c r="AX13" s="30"/>
      <c r="AY13" s="30"/>
      <c r="AZ13" s="30"/>
    </row>
    <row r="14" spans="1:52">
      <c r="A14" s="45"/>
      <c r="B14" s="45"/>
      <c r="C14" s="45"/>
      <c r="D14" s="45"/>
      <c r="E14" s="45"/>
      <c r="F14" s="45"/>
      <c r="G14" s="45"/>
      <c r="H14" s="45"/>
      <c r="I14" s="45" t="s">
        <v>333</v>
      </c>
      <c r="J14" s="45" t="s">
        <v>330</v>
      </c>
      <c r="K14" s="45"/>
      <c r="L14" s="45" t="s">
        <v>253</v>
      </c>
      <c r="M14" s="45" t="s">
        <v>334</v>
      </c>
      <c r="N14" s="45" t="s">
        <v>330</v>
      </c>
      <c r="O14" s="45" t="s">
        <v>335</v>
      </c>
      <c r="P14" s="45"/>
      <c r="Q14" s="45"/>
      <c r="R14" s="45"/>
      <c r="S14" s="45" t="s">
        <v>334</v>
      </c>
      <c r="T14" s="45"/>
      <c r="U14" s="45" t="s">
        <v>336</v>
      </c>
      <c r="V14" s="45" t="s">
        <v>288</v>
      </c>
      <c r="W14" s="45" t="s">
        <v>334</v>
      </c>
      <c r="X14" s="45" t="s">
        <v>337</v>
      </c>
      <c r="Y14" s="45"/>
      <c r="Z14" s="45"/>
      <c r="AA14" s="45"/>
      <c r="AB14" s="45"/>
      <c r="AC14" s="45"/>
      <c r="AD14" s="45" t="s">
        <v>330</v>
      </c>
      <c r="AE14" s="45"/>
      <c r="AF14" s="45"/>
      <c r="AG14" s="45" t="s">
        <v>259</v>
      </c>
      <c r="AH14" s="45" t="s">
        <v>330</v>
      </c>
      <c r="AI14" s="45" t="s">
        <v>338</v>
      </c>
      <c r="AJ14" s="45"/>
      <c r="AK14" s="45"/>
      <c r="AL14" s="45" t="s">
        <v>337</v>
      </c>
      <c r="AM14" s="45"/>
      <c r="AN14" s="45" t="s">
        <v>330</v>
      </c>
      <c r="AO14" s="45"/>
      <c r="AP14" s="45" t="s">
        <v>339</v>
      </c>
      <c r="AQ14" s="45"/>
      <c r="AR14" s="30"/>
      <c r="AS14" s="30"/>
      <c r="AT14" s="30"/>
      <c r="AU14" s="30"/>
      <c r="AV14" s="30"/>
      <c r="AW14" s="30"/>
      <c r="AX14" s="30"/>
      <c r="AY14" s="30"/>
      <c r="AZ14" s="30"/>
    </row>
    <row r="15" spans="1:52">
      <c r="A15" s="46"/>
      <c r="B15" s="46"/>
      <c r="C15" s="46"/>
      <c r="D15" s="46"/>
      <c r="E15" s="46"/>
      <c r="F15" s="46"/>
      <c r="G15" s="46"/>
      <c r="H15" s="46"/>
      <c r="I15" s="46" t="s">
        <v>340</v>
      </c>
      <c r="J15" s="46" t="s">
        <v>288</v>
      </c>
      <c r="K15" s="46"/>
      <c r="L15" s="46" t="s">
        <v>280</v>
      </c>
      <c r="M15" s="46" t="s">
        <v>341</v>
      </c>
      <c r="N15" s="46" t="s">
        <v>288</v>
      </c>
      <c r="O15" s="46" t="s">
        <v>342</v>
      </c>
      <c r="P15" s="46"/>
      <c r="Q15" s="46"/>
      <c r="R15" s="46"/>
      <c r="S15" s="46" t="s">
        <v>341</v>
      </c>
      <c r="T15" s="46"/>
      <c r="U15" s="46" t="s">
        <v>343</v>
      </c>
      <c r="V15" s="46" t="s">
        <v>344</v>
      </c>
      <c r="W15" s="46" t="s">
        <v>341</v>
      </c>
      <c r="X15" s="46" t="s">
        <v>330</v>
      </c>
      <c r="Y15" s="46"/>
      <c r="Z15" s="46"/>
      <c r="AA15" s="46"/>
      <c r="AB15" s="46"/>
      <c r="AC15" s="46"/>
      <c r="AD15" s="46" t="s">
        <v>288</v>
      </c>
      <c r="AE15" s="46"/>
      <c r="AF15" s="46"/>
      <c r="AG15" s="46" t="s">
        <v>345</v>
      </c>
      <c r="AH15" s="46" t="s">
        <v>288</v>
      </c>
      <c r="AI15" s="46"/>
      <c r="AJ15" s="46"/>
      <c r="AK15" s="46"/>
      <c r="AL15" s="46" t="s">
        <v>330</v>
      </c>
      <c r="AM15" s="46"/>
      <c r="AN15" s="46" t="s">
        <v>288</v>
      </c>
      <c r="AO15" s="46"/>
      <c r="AP15" s="46" t="s">
        <v>312</v>
      </c>
      <c r="AQ15" s="46"/>
      <c r="AR15" s="30"/>
      <c r="AS15" s="30"/>
      <c r="AT15" s="30"/>
      <c r="AU15" s="30"/>
      <c r="AV15" s="30"/>
      <c r="AW15" s="30"/>
      <c r="AX15" s="30"/>
      <c r="AY15" s="30"/>
      <c r="AZ15" s="30"/>
    </row>
    <row r="16" spans="1:52">
      <c r="A16" s="45"/>
      <c r="B16" s="45"/>
      <c r="C16" s="45"/>
      <c r="D16" s="45"/>
      <c r="E16" s="45"/>
      <c r="F16" s="45"/>
      <c r="G16" s="45"/>
      <c r="H16" s="45"/>
      <c r="I16" s="45" t="s">
        <v>314</v>
      </c>
      <c r="J16" s="45" t="s">
        <v>344</v>
      </c>
      <c r="K16" s="45"/>
      <c r="L16" s="45" t="s">
        <v>291</v>
      </c>
      <c r="M16" s="45" t="s">
        <v>346</v>
      </c>
      <c r="N16" s="45" t="s">
        <v>344</v>
      </c>
      <c r="O16" s="45" t="s">
        <v>347</v>
      </c>
      <c r="P16" s="45"/>
      <c r="Q16" s="45"/>
      <c r="R16" s="45"/>
      <c r="S16" s="45" t="s">
        <v>346</v>
      </c>
      <c r="T16" s="45"/>
      <c r="U16" s="45" t="s">
        <v>348</v>
      </c>
      <c r="V16" s="45" t="s">
        <v>308</v>
      </c>
      <c r="W16" s="45" t="s">
        <v>346</v>
      </c>
      <c r="X16" s="45" t="s">
        <v>288</v>
      </c>
      <c r="Y16" s="45"/>
      <c r="Z16" s="45"/>
      <c r="AA16" s="45"/>
      <c r="AB16" s="45"/>
      <c r="AC16" s="45"/>
      <c r="AD16" s="45" t="s">
        <v>344</v>
      </c>
      <c r="AE16" s="45"/>
      <c r="AF16" s="45"/>
      <c r="AG16" s="45" t="s">
        <v>349</v>
      </c>
      <c r="AH16" s="45" t="s">
        <v>344</v>
      </c>
      <c r="AI16" s="45"/>
      <c r="AJ16" s="45"/>
      <c r="AK16" s="45"/>
      <c r="AL16" s="45" t="s">
        <v>288</v>
      </c>
      <c r="AM16" s="45"/>
      <c r="AN16" s="45" t="s">
        <v>344</v>
      </c>
      <c r="AO16" s="45"/>
      <c r="AP16" s="45" t="s">
        <v>319</v>
      </c>
      <c r="AQ16" s="45"/>
      <c r="AR16" s="30"/>
      <c r="AS16" s="30"/>
      <c r="AT16" s="30"/>
      <c r="AU16" s="30"/>
      <c r="AV16" s="30"/>
      <c r="AW16" s="30"/>
      <c r="AX16" s="30"/>
      <c r="AY16" s="30"/>
      <c r="AZ16" s="30"/>
    </row>
    <row r="17" spans="1:52">
      <c r="A17" s="46"/>
      <c r="B17" s="46"/>
      <c r="C17" s="46"/>
      <c r="D17" s="46"/>
      <c r="E17" s="46"/>
      <c r="F17" s="46"/>
      <c r="G17" s="46"/>
      <c r="H17" s="46"/>
      <c r="I17" s="46" t="s">
        <v>350</v>
      </c>
      <c r="J17" s="46" t="s">
        <v>308</v>
      </c>
      <c r="K17" s="46"/>
      <c r="L17" s="46" t="s">
        <v>324</v>
      </c>
      <c r="M17" s="46" t="s">
        <v>351</v>
      </c>
      <c r="N17" s="46" t="s">
        <v>308</v>
      </c>
      <c r="O17" s="46" t="s">
        <v>352</v>
      </c>
      <c r="P17" s="46"/>
      <c r="Q17" s="46"/>
      <c r="R17" s="46"/>
      <c r="S17" s="46" t="s">
        <v>351</v>
      </c>
      <c r="T17" s="46"/>
      <c r="U17" s="46" t="s">
        <v>353</v>
      </c>
      <c r="V17" s="46" t="s">
        <v>297</v>
      </c>
      <c r="W17" s="46" t="s">
        <v>351</v>
      </c>
      <c r="X17" s="46" t="s">
        <v>344</v>
      </c>
      <c r="Y17" s="46"/>
      <c r="Z17" s="46"/>
      <c r="AA17" s="46"/>
      <c r="AB17" s="46"/>
      <c r="AC17" s="46"/>
      <c r="AD17" s="46" t="s">
        <v>308</v>
      </c>
      <c r="AE17" s="46"/>
      <c r="AF17" s="46"/>
      <c r="AG17" s="46" t="s">
        <v>354</v>
      </c>
      <c r="AH17" s="46" t="s">
        <v>308</v>
      </c>
      <c r="AI17" s="46"/>
      <c r="AJ17" s="46"/>
      <c r="AK17" s="46"/>
      <c r="AL17" s="46" t="s">
        <v>344</v>
      </c>
      <c r="AM17" s="46"/>
      <c r="AN17" s="46" t="s">
        <v>308</v>
      </c>
      <c r="AO17" s="46"/>
      <c r="AP17" s="46" t="s">
        <v>318</v>
      </c>
      <c r="AQ17" s="46"/>
      <c r="AR17" s="30"/>
      <c r="AS17" s="30"/>
      <c r="AT17" s="30"/>
      <c r="AU17" s="30"/>
      <c r="AV17" s="30"/>
      <c r="AW17" s="30"/>
      <c r="AX17" s="30"/>
      <c r="AY17" s="30"/>
      <c r="AZ17" s="30"/>
    </row>
    <row r="18" spans="1:52">
      <c r="A18" s="45"/>
      <c r="B18" s="45"/>
      <c r="C18" s="45"/>
      <c r="D18" s="45"/>
      <c r="E18" s="45"/>
      <c r="F18" s="45"/>
      <c r="G18" s="45"/>
      <c r="H18" s="45"/>
      <c r="I18" s="45" t="s">
        <v>355</v>
      </c>
      <c r="J18" s="45" t="s">
        <v>322</v>
      </c>
      <c r="K18" s="45"/>
      <c r="L18" s="45" t="s">
        <v>330</v>
      </c>
      <c r="M18" s="45" t="s">
        <v>356</v>
      </c>
      <c r="N18" s="45" t="s">
        <v>357</v>
      </c>
      <c r="O18" s="45" t="s">
        <v>358</v>
      </c>
      <c r="P18" s="45"/>
      <c r="Q18" s="45"/>
      <c r="R18" s="45"/>
      <c r="S18" s="45" t="s">
        <v>356</v>
      </c>
      <c r="T18" s="45"/>
      <c r="U18" s="45" t="s">
        <v>359</v>
      </c>
      <c r="V18" s="45" t="s">
        <v>360</v>
      </c>
      <c r="W18" s="45" t="s">
        <v>356</v>
      </c>
      <c r="X18" s="45" t="s">
        <v>308</v>
      </c>
      <c r="Y18" s="45"/>
      <c r="Z18" s="45"/>
      <c r="AA18" s="45"/>
      <c r="AB18" s="45"/>
      <c r="AC18" s="45"/>
      <c r="AD18" s="45" t="s">
        <v>357</v>
      </c>
      <c r="AE18" s="45"/>
      <c r="AF18" s="45"/>
      <c r="AG18" s="45" t="s">
        <v>361</v>
      </c>
      <c r="AH18" s="45" t="s">
        <v>322</v>
      </c>
      <c r="AI18" s="45"/>
      <c r="AJ18" s="45"/>
      <c r="AK18" s="45"/>
      <c r="AL18" s="45" t="s">
        <v>308</v>
      </c>
      <c r="AM18" s="45"/>
      <c r="AN18" s="45" t="s">
        <v>357</v>
      </c>
      <c r="AO18" s="45"/>
      <c r="AP18" s="45"/>
      <c r="AQ18" s="45"/>
      <c r="AR18" s="30"/>
      <c r="AS18" s="30"/>
      <c r="AT18" s="30"/>
      <c r="AU18" s="30"/>
      <c r="AV18" s="30"/>
      <c r="AW18" s="30"/>
      <c r="AX18" s="30"/>
      <c r="AY18" s="30"/>
      <c r="AZ18" s="30"/>
    </row>
    <row r="19" spans="1:52">
      <c r="A19" s="46"/>
      <c r="B19" s="46"/>
      <c r="C19" s="46"/>
      <c r="D19" s="46"/>
      <c r="E19" s="46"/>
      <c r="F19" s="46"/>
      <c r="G19" s="46"/>
      <c r="H19" s="46"/>
      <c r="I19" s="46" t="s">
        <v>362</v>
      </c>
      <c r="J19" s="46" t="s">
        <v>357</v>
      </c>
      <c r="K19" s="46"/>
      <c r="L19" s="46" t="s">
        <v>344</v>
      </c>
      <c r="M19" s="46" t="s">
        <v>363</v>
      </c>
      <c r="N19" s="46" t="s">
        <v>297</v>
      </c>
      <c r="O19" s="46" t="s">
        <v>271</v>
      </c>
      <c r="P19" s="46"/>
      <c r="Q19" s="46"/>
      <c r="R19" s="46"/>
      <c r="S19" s="46" t="s">
        <v>363</v>
      </c>
      <c r="T19" s="46"/>
      <c r="U19" s="46" t="s">
        <v>364</v>
      </c>
      <c r="V19" s="46" t="s">
        <v>322</v>
      </c>
      <c r="W19" s="46" t="s">
        <v>363</v>
      </c>
      <c r="X19" s="46" t="s">
        <v>357</v>
      </c>
      <c r="Y19" s="46"/>
      <c r="Z19" s="46"/>
      <c r="AA19" s="46"/>
      <c r="AB19" s="46"/>
      <c r="AC19" s="46"/>
      <c r="AD19" s="46" t="s">
        <v>297</v>
      </c>
      <c r="AE19" s="46"/>
      <c r="AF19" s="46"/>
      <c r="AG19" s="46" t="s">
        <v>365</v>
      </c>
      <c r="AH19" s="46" t="s">
        <v>357</v>
      </c>
      <c r="AI19" s="46"/>
      <c r="AJ19" s="46"/>
      <c r="AK19" s="46"/>
      <c r="AL19" s="46" t="s">
        <v>357</v>
      </c>
      <c r="AM19" s="46"/>
      <c r="AN19" s="46" t="s">
        <v>297</v>
      </c>
      <c r="AO19" s="46"/>
      <c r="AP19" s="46"/>
      <c r="AQ19" s="46"/>
      <c r="AR19" s="30"/>
      <c r="AS19" s="30"/>
      <c r="AT19" s="30"/>
      <c r="AU19" s="30"/>
      <c r="AV19" s="30"/>
      <c r="AW19" s="30"/>
      <c r="AX19" s="30"/>
      <c r="AY19" s="30"/>
      <c r="AZ19" s="30"/>
    </row>
    <row r="20" spans="1:52">
      <c r="A20" s="45"/>
      <c r="B20" s="45"/>
      <c r="C20" s="45"/>
      <c r="D20" s="45"/>
      <c r="E20" s="45"/>
      <c r="F20" s="45"/>
      <c r="G20" s="45"/>
      <c r="H20" s="45"/>
      <c r="I20" s="45" t="s">
        <v>366</v>
      </c>
      <c r="J20" s="45" t="s">
        <v>297</v>
      </c>
      <c r="K20" s="45"/>
      <c r="L20" s="45" t="s">
        <v>308</v>
      </c>
      <c r="M20" s="45" t="s">
        <v>367</v>
      </c>
      <c r="N20" s="45" t="s">
        <v>360</v>
      </c>
      <c r="O20" s="45" t="s">
        <v>281</v>
      </c>
      <c r="P20" s="45"/>
      <c r="Q20" s="45"/>
      <c r="R20" s="45"/>
      <c r="S20" s="45" t="s">
        <v>367</v>
      </c>
      <c r="T20" s="45"/>
      <c r="U20" s="45" t="s">
        <v>352</v>
      </c>
      <c r="V20" s="45" t="s">
        <v>305</v>
      </c>
      <c r="W20" s="45" t="s">
        <v>367</v>
      </c>
      <c r="X20" s="45" t="s">
        <v>297</v>
      </c>
      <c r="Y20" s="45"/>
      <c r="Z20" s="45"/>
      <c r="AA20" s="45"/>
      <c r="AB20" s="45"/>
      <c r="AC20" s="45"/>
      <c r="AD20" s="45" t="s">
        <v>360</v>
      </c>
      <c r="AE20" s="45"/>
      <c r="AF20" s="45"/>
      <c r="AG20" s="45" t="s">
        <v>283</v>
      </c>
      <c r="AH20" s="45" t="s">
        <v>297</v>
      </c>
      <c r="AI20" s="45"/>
      <c r="AJ20" s="45"/>
      <c r="AK20" s="45"/>
      <c r="AL20" s="45" t="s">
        <v>297</v>
      </c>
      <c r="AM20" s="45"/>
      <c r="AN20" s="45" t="s">
        <v>360</v>
      </c>
      <c r="AO20" s="45"/>
      <c r="AP20" s="45"/>
      <c r="AQ20" s="45"/>
      <c r="AR20" s="30"/>
      <c r="AS20" s="30"/>
      <c r="AT20" s="30"/>
      <c r="AU20" s="30"/>
      <c r="AV20" s="30"/>
      <c r="AW20" s="30"/>
      <c r="AX20" s="30"/>
      <c r="AY20" s="30"/>
      <c r="AZ20" s="30"/>
    </row>
    <row r="21" spans="1:52">
      <c r="A21" s="46"/>
      <c r="B21" s="46"/>
      <c r="C21" s="46"/>
      <c r="D21" s="46"/>
      <c r="E21" s="46"/>
      <c r="F21" s="46"/>
      <c r="G21" s="46"/>
      <c r="H21" s="46"/>
      <c r="I21" s="46" t="s">
        <v>321</v>
      </c>
      <c r="J21" s="46" t="s">
        <v>360</v>
      </c>
      <c r="K21" s="46"/>
      <c r="L21" s="46" t="s">
        <v>357</v>
      </c>
      <c r="M21" s="46" t="s">
        <v>368</v>
      </c>
      <c r="N21" s="46" t="s">
        <v>322</v>
      </c>
      <c r="O21" s="46" t="s">
        <v>369</v>
      </c>
      <c r="P21" s="46"/>
      <c r="Q21" s="46"/>
      <c r="R21" s="46"/>
      <c r="S21" s="46" t="s">
        <v>368</v>
      </c>
      <c r="T21" s="46"/>
      <c r="U21" s="46" t="s">
        <v>328</v>
      </c>
      <c r="V21" s="46" t="s">
        <v>370</v>
      </c>
      <c r="W21" s="46" t="s">
        <v>368</v>
      </c>
      <c r="X21" s="46" t="s">
        <v>360</v>
      </c>
      <c r="Y21" s="46"/>
      <c r="Z21" s="46"/>
      <c r="AA21" s="46"/>
      <c r="AB21" s="46"/>
      <c r="AC21" s="46"/>
      <c r="AD21" s="46" t="s">
        <v>322</v>
      </c>
      <c r="AE21" s="46"/>
      <c r="AF21" s="46"/>
      <c r="AG21" s="46" t="s">
        <v>371</v>
      </c>
      <c r="AH21" s="46" t="s">
        <v>360</v>
      </c>
      <c r="AI21" s="46"/>
      <c r="AJ21" s="46"/>
      <c r="AK21" s="46"/>
      <c r="AL21" s="46" t="s">
        <v>360</v>
      </c>
      <c r="AM21" s="46"/>
      <c r="AN21" s="46" t="s">
        <v>322</v>
      </c>
      <c r="AO21" s="46"/>
      <c r="AP21" s="46"/>
      <c r="AQ21" s="46"/>
      <c r="AR21" s="30"/>
      <c r="AS21" s="30"/>
      <c r="AT21" s="30"/>
      <c r="AU21" s="30"/>
      <c r="AV21" s="30"/>
      <c r="AW21" s="30"/>
      <c r="AX21" s="30"/>
      <c r="AY21" s="30"/>
      <c r="AZ21" s="30"/>
    </row>
    <row r="22" spans="1:52">
      <c r="A22" s="45"/>
      <c r="B22" s="45"/>
      <c r="C22" s="45"/>
      <c r="D22" s="45"/>
      <c r="E22" s="45"/>
      <c r="F22" s="45"/>
      <c r="G22" s="45"/>
      <c r="H22" s="45"/>
      <c r="I22" s="45" t="s">
        <v>328</v>
      </c>
      <c r="J22" s="45" t="s">
        <v>372</v>
      </c>
      <c r="K22" s="45"/>
      <c r="L22" s="45" t="s">
        <v>360</v>
      </c>
      <c r="M22" s="45" t="s">
        <v>373</v>
      </c>
      <c r="N22" s="45" t="s">
        <v>305</v>
      </c>
      <c r="O22" s="45" t="s">
        <v>343</v>
      </c>
      <c r="P22" s="45"/>
      <c r="Q22" s="45"/>
      <c r="R22" s="45"/>
      <c r="S22" s="45" t="s">
        <v>373</v>
      </c>
      <c r="T22" s="45"/>
      <c r="U22" s="45" t="s">
        <v>374</v>
      </c>
      <c r="V22" s="45" t="s">
        <v>375</v>
      </c>
      <c r="W22" s="45" t="s">
        <v>373</v>
      </c>
      <c r="X22" s="45" t="s">
        <v>372</v>
      </c>
      <c r="Y22" s="45"/>
      <c r="Z22" s="45"/>
      <c r="AA22" s="45"/>
      <c r="AB22" s="45"/>
      <c r="AC22" s="45"/>
      <c r="AD22" s="45" t="s">
        <v>305</v>
      </c>
      <c r="AE22" s="45"/>
      <c r="AF22" s="45"/>
      <c r="AG22" s="45" t="s">
        <v>338</v>
      </c>
      <c r="AH22" s="45" t="s">
        <v>372</v>
      </c>
      <c r="AI22" s="45"/>
      <c r="AJ22" s="45"/>
      <c r="AK22" s="45"/>
      <c r="AL22" s="45" t="s">
        <v>372</v>
      </c>
      <c r="AM22" s="45"/>
      <c r="AN22" s="45" t="s">
        <v>305</v>
      </c>
      <c r="AO22" s="45"/>
      <c r="AP22" s="45"/>
      <c r="AQ22" s="45"/>
      <c r="AR22" s="30"/>
      <c r="AS22" s="30"/>
      <c r="AT22" s="30"/>
      <c r="AU22" s="30"/>
      <c r="AV22" s="30"/>
      <c r="AW22" s="30"/>
      <c r="AX22" s="30"/>
      <c r="AY22" s="30"/>
      <c r="AZ22" s="30"/>
    </row>
    <row r="23" spans="1:52">
      <c r="A23" s="46"/>
      <c r="B23" s="46"/>
      <c r="C23" s="46"/>
      <c r="D23" s="46"/>
      <c r="E23" s="46"/>
      <c r="F23" s="46"/>
      <c r="G23" s="46"/>
      <c r="H23" s="46"/>
      <c r="I23" s="46" t="s">
        <v>376</v>
      </c>
      <c r="J23" s="46" t="s">
        <v>305</v>
      </c>
      <c r="K23" s="46"/>
      <c r="L23" s="46"/>
      <c r="M23" s="46" t="s">
        <v>377</v>
      </c>
      <c r="N23" s="46" t="s">
        <v>372</v>
      </c>
      <c r="O23" s="46" t="s">
        <v>348</v>
      </c>
      <c r="P23" s="46"/>
      <c r="Q23" s="46"/>
      <c r="R23" s="46"/>
      <c r="S23" s="46" t="s">
        <v>377</v>
      </c>
      <c r="T23" s="46"/>
      <c r="U23" s="46" t="s">
        <v>378</v>
      </c>
      <c r="V23" s="46" t="s">
        <v>379</v>
      </c>
      <c r="W23" s="46" t="s">
        <v>377</v>
      </c>
      <c r="X23" s="46" t="s">
        <v>305</v>
      </c>
      <c r="Y23" s="46"/>
      <c r="Z23" s="46"/>
      <c r="AA23" s="46"/>
      <c r="AB23" s="46"/>
      <c r="AC23" s="46"/>
      <c r="AD23" s="46" t="s">
        <v>372</v>
      </c>
      <c r="AE23" s="46"/>
      <c r="AF23" s="46"/>
      <c r="AG23" s="46" t="s">
        <v>380</v>
      </c>
      <c r="AH23" s="46" t="s">
        <v>305</v>
      </c>
      <c r="AI23" s="46"/>
      <c r="AJ23" s="46"/>
      <c r="AK23" s="46"/>
      <c r="AL23" s="46" t="s">
        <v>305</v>
      </c>
      <c r="AM23" s="46"/>
      <c r="AN23" s="46" t="s">
        <v>372</v>
      </c>
      <c r="AO23" s="46"/>
      <c r="AP23" s="46"/>
      <c r="AQ23" s="46"/>
      <c r="AR23" s="30"/>
      <c r="AS23" s="30"/>
      <c r="AT23" s="30"/>
      <c r="AU23" s="30"/>
      <c r="AV23" s="30"/>
      <c r="AW23" s="30"/>
      <c r="AX23" s="30"/>
      <c r="AY23" s="30"/>
      <c r="AZ23" s="30"/>
    </row>
    <row r="24" spans="1:52">
      <c r="A24" s="45"/>
      <c r="B24" s="45"/>
      <c r="C24" s="45"/>
      <c r="D24" s="45"/>
      <c r="E24" s="45"/>
      <c r="F24" s="45"/>
      <c r="G24" s="45"/>
      <c r="H24" s="45"/>
      <c r="I24" s="45" t="s">
        <v>381</v>
      </c>
      <c r="J24" s="45" t="s">
        <v>370</v>
      </c>
      <c r="K24" s="45"/>
      <c r="L24" s="45"/>
      <c r="M24" s="45" t="s">
        <v>382</v>
      </c>
      <c r="N24" s="45" t="s">
        <v>370</v>
      </c>
      <c r="O24" s="45" t="s">
        <v>355</v>
      </c>
      <c r="P24" s="45"/>
      <c r="Q24" s="45"/>
      <c r="R24" s="45"/>
      <c r="S24" s="45" t="s">
        <v>382</v>
      </c>
      <c r="T24" s="45"/>
      <c r="U24" s="45"/>
      <c r="V24" s="45" t="s">
        <v>339</v>
      </c>
      <c r="W24" s="45" t="s">
        <v>382</v>
      </c>
      <c r="X24" s="45" t="s">
        <v>370</v>
      </c>
      <c r="Y24" s="45"/>
      <c r="Z24" s="45"/>
      <c r="AA24" s="45"/>
      <c r="AB24" s="45"/>
      <c r="AC24" s="45"/>
      <c r="AD24" s="45" t="s">
        <v>370</v>
      </c>
      <c r="AE24" s="45"/>
      <c r="AF24" s="45"/>
      <c r="AG24" s="45" t="s">
        <v>383</v>
      </c>
      <c r="AH24" s="45" t="s">
        <v>370</v>
      </c>
      <c r="AI24" s="45"/>
      <c r="AJ24" s="45"/>
      <c r="AK24" s="45"/>
      <c r="AL24" s="45" t="s">
        <v>370</v>
      </c>
      <c r="AM24" s="45"/>
      <c r="AN24" s="45" t="s">
        <v>370</v>
      </c>
      <c r="AO24" s="45"/>
      <c r="AP24" s="45"/>
      <c r="AQ24" s="45"/>
      <c r="AR24" s="30"/>
      <c r="AS24" s="30"/>
      <c r="AT24" s="30"/>
      <c r="AU24" s="30"/>
      <c r="AV24" s="30"/>
      <c r="AW24" s="30"/>
      <c r="AX24" s="30"/>
      <c r="AY24" s="30"/>
      <c r="AZ24" s="30"/>
    </row>
    <row r="25" spans="1:52">
      <c r="A25" s="46"/>
      <c r="B25" s="46"/>
      <c r="C25" s="46"/>
      <c r="D25" s="46"/>
      <c r="E25" s="46"/>
      <c r="F25" s="46"/>
      <c r="G25" s="46"/>
      <c r="H25" s="46"/>
      <c r="I25" s="46" t="s">
        <v>384</v>
      </c>
      <c r="J25" s="46" t="s">
        <v>385</v>
      </c>
      <c r="K25" s="46"/>
      <c r="L25" s="46"/>
      <c r="M25" s="46" t="s">
        <v>386</v>
      </c>
      <c r="N25" s="46" t="s">
        <v>375</v>
      </c>
      <c r="O25" s="46" t="s">
        <v>336</v>
      </c>
      <c r="P25" s="46"/>
      <c r="Q25" s="46"/>
      <c r="R25" s="46"/>
      <c r="S25" s="46" t="s">
        <v>386</v>
      </c>
      <c r="T25" s="46"/>
      <c r="U25" s="46"/>
      <c r="V25" s="46" t="s">
        <v>312</v>
      </c>
      <c r="W25" s="46" t="s">
        <v>386</v>
      </c>
      <c r="X25" s="46" t="s">
        <v>385</v>
      </c>
      <c r="Y25" s="46"/>
      <c r="Z25" s="46"/>
      <c r="AA25" s="46"/>
      <c r="AB25" s="46"/>
      <c r="AC25" s="46"/>
      <c r="AD25" s="46" t="s">
        <v>375</v>
      </c>
      <c r="AE25" s="46"/>
      <c r="AF25" s="46"/>
      <c r="AG25" s="46" t="s">
        <v>387</v>
      </c>
      <c r="AH25" s="46" t="s">
        <v>385</v>
      </c>
      <c r="AI25" s="46"/>
      <c r="AJ25" s="46"/>
      <c r="AK25" s="46"/>
      <c r="AL25" s="46" t="s">
        <v>385</v>
      </c>
      <c r="AM25" s="46"/>
      <c r="AN25" s="46" t="s">
        <v>375</v>
      </c>
      <c r="AO25" s="46"/>
      <c r="AP25" s="46"/>
      <c r="AQ25" s="46"/>
      <c r="AR25" s="30"/>
      <c r="AS25" s="30"/>
      <c r="AT25" s="30"/>
      <c r="AU25" s="30"/>
      <c r="AV25" s="30"/>
      <c r="AW25" s="30"/>
      <c r="AX25" s="30"/>
      <c r="AY25" s="30"/>
      <c r="AZ25" s="30"/>
    </row>
    <row r="26" spans="1:52">
      <c r="A26" s="45"/>
      <c r="B26" s="45"/>
      <c r="C26" s="45"/>
      <c r="D26" s="45"/>
      <c r="E26" s="45"/>
      <c r="F26" s="45"/>
      <c r="G26" s="45"/>
      <c r="H26" s="45"/>
      <c r="I26" s="45" t="s">
        <v>388</v>
      </c>
      <c r="J26" s="45" t="s">
        <v>379</v>
      </c>
      <c r="K26" s="45"/>
      <c r="L26" s="45"/>
      <c r="M26" s="45" t="s">
        <v>389</v>
      </c>
      <c r="N26" s="45" t="s">
        <v>379</v>
      </c>
      <c r="O26" s="45" t="s">
        <v>390</v>
      </c>
      <c r="P26" s="45"/>
      <c r="Q26" s="45"/>
      <c r="R26" s="45"/>
      <c r="S26" s="45" t="s">
        <v>389</v>
      </c>
      <c r="T26" s="45"/>
      <c r="U26" s="45"/>
      <c r="V26" s="45" t="s">
        <v>319</v>
      </c>
      <c r="W26" s="45" t="s">
        <v>389</v>
      </c>
      <c r="X26" s="45" t="s">
        <v>379</v>
      </c>
      <c r="Y26" s="45"/>
      <c r="Z26" s="45"/>
      <c r="AA26" s="45"/>
      <c r="AB26" s="45"/>
      <c r="AC26" s="45"/>
      <c r="AD26" s="45" t="s">
        <v>379</v>
      </c>
      <c r="AE26" s="45"/>
      <c r="AF26" s="45"/>
      <c r="AG26" s="45" t="s">
        <v>294</v>
      </c>
      <c r="AH26" s="45" t="s">
        <v>379</v>
      </c>
      <c r="AI26" s="45"/>
      <c r="AJ26" s="45"/>
      <c r="AK26" s="45"/>
      <c r="AL26" s="45" t="s">
        <v>379</v>
      </c>
      <c r="AM26" s="45"/>
      <c r="AN26" s="45" t="s">
        <v>379</v>
      </c>
      <c r="AO26" s="45"/>
      <c r="AP26" s="45"/>
      <c r="AQ26" s="45"/>
      <c r="AR26" s="30"/>
      <c r="AS26" s="30"/>
      <c r="AT26" s="30"/>
      <c r="AU26" s="30"/>
      <c r="AV26" s="30"/>
      <c r="AW26" s="30"/>
      <c r="AX26" s="30"/>
      <c r="AY26" s="30"/>
      <c r="AZ26" s="30"/>
    </row>
    <row r="27" spans="1:52">
      <c r="A27" s="46"/>
      <c r="B27" s="46"/>
      <c r="C27" s="46"/>
      <c r="D27" s="46"/>
      <c r="E27" s="46"/>
      <c r="F27" s="46"/>
      <c r="G27" s="46"/>
      <c r="H27" s="46"/>
      <c r="I27" s="46" t="s">
        <v>335</v>
      </c>
      <c r="J27" s="46" t="s">
        <v>339</v>
      </c>
      <c r="K27" s="46"/>
      <c r="L27" s="46"/>
      <c r="M27" s="46" t="s">
        <v>391</v>
      </c>
      <c r="N27" s="46" t="s">
        <v>339</v>
      </c>
      <c r="O27" s="46" t="s">
        <v>340</v>
      </c>
      <c r="P27" s="46"/>
      <c r="Q27" s="46"/>
      <c r="R27" s="46"/>
      <c r="S27" s="46" t="s">
        <v>391</v>
      </c>
      <c r="T27" s="46"/>
      <c r="U27" s="46"/>
      <c r="V27" s="46" t="s">
        <v>357</v>
      </c>
      <c r="W27" s="46" t="s">
        <v>391</v>
      </c>
      <c r="X27" s="46" t="s">
        <v>312</v>
      </c>
      <c r="Y27" s="46"/>
      <c r="Z27" s="46"/>
      <c r="AA27" s="46"/>
      <c r="AB27" s="46"/>
      <c r="AC27" s="46"/>
      <c r="AD27" s="46" t="s">
        <v>339</v>
      </c>
      <c r="AE27" s="46"/>
      <c r="AF27" s="46"/>
      <c r="AG27" s="46" t="s">
        <v>392</v>
      </c>
      <c r="AH27" s="46" t="s">
        <v>339</v>
      </c>
      <c r="AI27" s="46"/>
      <c r="AJ27" s="46"/>
      <c r="AK27" s="46"/>
      <c r="AL27" s="46" t="s">
        <v>312</v>
      </c>
      <c r="AM27" s="46"/>
      <c r="AN27" s="46" t="s">
        <v>339</v>
      </c>
      <c r="AO27" s="46"/>
      <c r="AP27" s="46"/>
      <c r="AQ27" s="46"/>
      <c r="AR27" s="30"/>
      <c r="AS27" s="30"/>
      <c r="AT27" s="30"/>
      <c r="AU27" s="30"/>
      <c r="AV27" s="30"/>
      <c r="AW27" s="30"/>
      <c r="AX27" s="30"/>
      <c r="AY27" s="30"/>
      <c r="AZ27" s="30"/>
    </row>
    <row r="28" spans="1:52">
      <c r="A28" s="45"/>
      <c r="B28" s="45"/>
      <c r="C28" s="45"/>
      <c r="D28" s="45"/>
      <c r="E28" s="45"/>
      <c r="F28" s="45"/>
      <c r="G28" s="45"/>
      <c r="H28" s="45"/>
      <c r="I28" s="45" t="s">
        <v>393</v>
      </c>
      <c r="J28" s="45" t="s">
        <v>312</v>
      </c>
      <c r="K28" s="45"/>
      <c r="L28" s="45"/>
      <c r="M28" s="45" t="s">
        <v>394</v>
      </c>
      <c r="N28" s="45" t="s">
        <v>312</v>
      </c>
      <c r="O28" s="45" t="s">
        <v>374</v>
      </c>
      <c r="P28" s="45"/>
      <c r="Q28" s="45"/>
      <c r="R28" s="45"/>
      <c r="S28" s="45" t="s">
        <v>394</v>
      </c>
      <c r="T28" s="45"/>
      <c r="U28" s="45"/>
      <c r="V28" s="45" t="s">
        <v>395</v>
      </c>
      <c r="W28" s="45" t="s">
        <v>394</v>
      </c>
      <c r="X28" s="45" t="s">
        <v>319</v>
      </c>
      <c r="Y28" s="45"/>
      <c r="Z28" s="45"/>
      <c r="AA28" s="45"/>
      <c r="AB28" s="45"/>
      <c r="AC28" s="45"/>
      <c r="AD28" s="45" t="s">
        <v>312</v>
      </c>
      <c r="AE28" s="45"/>
      <c r="AF28" s="45"/>
      <c r="AG28" s="45" t="s">
        <v>302</v>
      </c>
      <c r="AH28" s="45" t="s">
        <v>312</v>
      </c>
      <c r="AI28" s="45"/>
      <c r="AJ28" s="45"/>
      <c r="AK28" s="45"/>
      <c r="AL28" s="45" t="s">
        <v>319</v>
      </c>
      <c r="AM28" s="45"/>
      <c r="AN28" s="45" t="s">
        <v>312</v>
      </c>
      <c r="AO28" s="45"/>
      <c r="AP28" s="45"/>
      <c r="AQ28" s="45"/>
      <c r="AR28" s="30"/>
      <c r="AS28" s="30"/>
      <c r="AT28" s="30"/>
      <c r="AU28" s="30"/>
      <c r="AV28" s="30"/>
      <c r="AW28" s="30"/>
      <c r="AX28" s="30"/>
      <c r="AY28" s="30"/>
      <c r="AZ28" s="30"/>
    </row>
    <row r="29" spans="1:52">
      <c r="A29" s="46"/>
      <c r="B29" s="46"/>
      <c r="C29" s="46"/>
      <c r="D29" s="46"/>
      <c r="E29" s="46"/>
      <c r="F29" s="46"/>
      <c r="G29" s="46"/>
      <c r="H29" s="46"/>
      <c r="I29" s="46" t="s">
        <v>342</v>
      </c>
      <c r="J29" s="46" t="s">
        <v>396</v>
      </c>
      <c r="K29" s="46"/>
      <c r="L29" s="46"/>
      <c r="M29" s="46" t="s">
        <v>397</v>
      </c>
      <c r="N29" s="46" t="s">
        <v>319</v>
      </c>
      <c r="O29" s="46" t="s">
        <v>378</v>
      </c>
      <c r="P29" s="46"/>
      <c r="Q29" s="46"/>
      <c r="R29" s="46"/>
      <c r="S29" s="46" t="s">
        <v>397</v>
      </c>
      <c r="T29" s="46"/>
      <c r="U29" s="46"/>
      <c r="V29" s="46" t="s">
        <v>385</v>
      </c>
      <c r="W29" s="46" t="s">
        <v>397</v>
      </c>
      <c r="X29" s="46" t="s">
        <v>322</v>
      </c>
      <c r="Y29" s="46"/>
      <c r="Z29" s="46"/>
      <c r="AA29" s="46"/>
      <c r="AB29" s="46"/>
      <c r="AC29" s="46"/>
      <c r="AD29" s="46" t="s">
        <v>319</v>
      </c>
      <c r="AE29" s="46"/>
      <c r="AF29" s="46"/>
      <c r="AG29" s="46" t="s">
        <v>398</v>
      </c>
      <c r="AH29" s="46" t="s">
        <v>396</v>
      </c>
      <c r="AI29" s="46"/>
      <c r="AJ29" s="46"/>
      <c r="AK29" s="46"/>
      <c r="AL29" s="46" t="s">
        <v>322</v>
      </c>
      <c r="AM29" s="46"/>
      <c r="AN29" s="46" t="s">
        <v>319</v>
      </c>
      <c r="AO29" s="46"/>
      <c r="AP29" s="46"/>
      <c r="AQ29" s="46"/>
      <c r="AR29" s="30"/>
      <c r="AS29" s="30"/>
      <c r="AT29" s="30"/>
      <c r="AU29" s="30"/>
      <c r="AV29" s="30"/>
      <c r="AW29" s="30"/>
      <c r="AX29" s="30"/>
      <c r="AY29" s="30"/>
      <c r="AZ29" s="30"/>
    </row>
    <row r="30" spans="1:52">
      <c r="A30" s="45"/>
      <c r="B30" s="45"/>
      <c r="C30" s="45"/>
      <c r="D30" s="45"/>
      <c r="E30" s="45"/>
      <c r="F30" s="45"/>
      <c r="G30" s="45"/>
      <c r="H30" s="45"/>
      <c r="I30" s="45" t="s">
        <v>399</v>
      </c>
      <c r="J30" s="45" t="s">
        <v>319</v>
      </c>
      <c r="K30" s="45"/>
      <c r="L30" s="45"/>
      <c r="M30" s="45"/>
      <c r="N30" s="45" t="s">
        <v>400</v>
      </c>
      <c r="O30" s="45" t="s">
        <v>401</v>
      </c>
      <c r="P30" s="45"/>
      <c r="Q30" s="45"/>
      <c r="R30" s="45"/>
      <c r="S30" s="45"/>
      <c r="T30" s="45"/>
      <c r="U30" s="45"/>
      <c r="V30" s="45"/>
      <c r="W30" s="45"/>
      <c r="X30" s="45" t="s">
        <v>375</v>
      </c>
      <c r="Y30" s="45"/>
      <c r="Z30" s="45"/>
      <c r="AA30" s="45"/>
      <c r="AB30" s="45"/>
      <c r="AC30" s="45"/>
      <c r="AD30" s="45" t="s">
        <v>400</v>
      </c>
      <c r="AE30" s="45"/>
      <c r="AF30" s="45"/>
      <c r="AG30" s="45" t="s">
        <v>402</v>
      </c>
      <c r="AH30" s="45" t="s">
        <v>319</v>
      </c>
      <c r="AI30" s="45"/>
      <c r="AJ30" s="45"/>
      <c r="AK30" s="45"/>
      <c r="AL30" s="45" t="s">
        <v>375</v>
      </c>
      <c r="AM30" s="45"/>
      <c r="AN30" s="45" t="s">
        <v>400</v>
      </c>
      <c r="AO30" s="45"/>
      <c r="AP30" s="45"/>
      <c r="AQ30" s="45"/>
      <c r="AR30" s="30"/>
      <c r="AS30" s="30"/>
      <c r="AT30" s="30"/>
      <c r="AU30" s="30"/>
      <c r="AV30" s="30"/>
      <c r="AW30" s="30"/>
      <c r="AX30" s="30"/>
      <c r="AY30" s="30"/>
      <c r="AZ30" s="30"/>
    </row>
    <row r="31" spans="1:52">
      <c r="A31" s="46"/>
      <c r="B31" s="46"/>
      <c r="C31" s="46"/>
      <c r="D31" s="46"/>
      <c r="E31" s="46"/>
      <c r="F31" s="46"/>
      <c r="G31" s="46"/>
      <c r="H31" s="46"/>
      <c r="I31" s="46" t="s">
        <v>347</v>
      </c>
      <c r="J31" s="46"/>
      <c r="K31" s="46"/>
      <c r="L31" s="46"/>
      <c r="M31" s="46"/>
      <c r="N31" s="46" t="s">
        <v>403</v>
      </c>
      <c r="O31" s="46" t="s">
        <v>404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 t="s">
        <v>403</v>
      </c>
      <c r="AE31" s="46"/>
      <c r="AF31" s="46"/>
      <c r="AG31" s="46" t="s">
        <v>405</v>
      </c>
      <c r="AH31" s="46"/>
      <c r="AI31" s="46"/>
      <c r="AJ31" s="46"/>
      <c r="AK31" s="46"/>
      <c r="AL31" s="46" t="s">
        <v>339</v>
      </c>
      <c r="AM31" s="46"/>
      <c r="AN31" s="46" t="s">
        <v>403</v>
      </c>
      <c r="AO31" s="46"/>
      <c r="AP31" s="46"/>
      <c r="AQ31" s="46"/>
      <c r="AR31" s="30"/>
      <c r="AS31" s="30"/>
      <c r="AT31" s="30"/>
      <c r="AU31" s="30"/>
      <c r="AV31" s="30"/>
      <c r="AW31" s="30"/>
      <c r="AX31" s="30"/>
      <c r="AY31" s="30"/>
      <c r="AZ31" s="30"/>
    </row>
    <row r="32" spans="1:52">
      <c r="A32" s="45"/>
      <c r="B32" s="45"/>
      <c r="C32" s="45"/>
      <c r="D32" s="45"/>
      <c r="E32" s="45"/>
      <c r="F32" s="45"/>
      <c r="G32" s="45"/>
      <c r="H32" s="45"/>
      <c r="I32" s="45" t="s">
        <v>352</v>
      </c>
      <c r="J32" s="45"/>
      <c r="K32" s="45"/>
      <c r="L32" s="45"/>
      <c r="M32" s="45"/>
      <c r="N32" s="45" t="s">
        <v>406</v>
      </c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 t="s">
        <v>406</v>
      </c>
      <c r="AE32" s="45"/>
      <c r="AF32" s="45"/>
      <c r="AG32" s="45" t="s">
        <v>407</v>
      </c>
      <c r="AH32" s="45"/>
      <c r="AI32" s="45"/>
      <c r="AJ32" s="45"/>
      <c r="AK32" s="45"/>
      <c r="AL32" s="45"/>
      <c r="AM32" s="45"/>
      <c r="AN32" s="45" t="s">
        <v>406</v>
      </c>
      <c r="AO32" s="45"/>
      <c r="AP32" s="45"/>
      <c r="AQ32" s="45"/>
      <c r="AR32" s="30"/>
      <c r="AS32" s="30"/>
      <c r="AT32" s="30"/>
      <c r="AU32" s="30"/>
      <c r="AV32" s="30"/>
      <c r="AW32" s="30"/>
      <c r="AX32" s="30"/>
      <c r="AY32" s="30"/>
      <c r="AZ32" s="30"/>
    </row>
    <row r="33" spans="1:52">
      <c r="A33" s="46"/>
      <c r="B33" s="46"/>
      <c r="C33" s="46"/>
      <c r="D33" s="46"/>
      <c r="E33" s="46"/>
      <c r="F33" s="46"/>
      <c r="G33" s="46"/>
      <c r="H33" s="46"/>
      <c r="I33" s="46" t="s">
        <v>358</v>
      </c>
      <c r="J33" s="46"/>
      <c r="K33" s="46"/>
      <c r="L33" s="46"/>
      <c r="M33" s="46"/>
      <c r="N33" s="46" t="s">
        <v>408</v>
      </c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 t="s">
        <v>408</v>
      </c>
      <c r="AE33" s="46"/>
      <c r="AF33" s="46"/>
      <c r="AG33" s="46" t="s">
        <v>409</v>
      </c>
      <c r="AH33" s="46"/>
      <c r="AI33" s="46"/>
      <c r="AJ33" s="46"/>
      <c r="AK33" s="46"/>
      <c r="AL33" s="46"/>
      <c r="AM33" s="46"/>
      <c r="AN33" s="46" t="s">
        <v>408</v>
      </c>
      <c r="AO33" s="46"/>
      <c r="AP33" s="46"/>
      <c r="AQ33" s="46"/>
      <c r="AR33" s="30"/>
      <c r="AS33" s="30"/>
      <c r="AT33" s="30"/>
      <c r="AU33" s="30"/>
      <c r="AV33" s="30"/>
      <c r="AW33" s="30"/>
      <c r="AX33" s="30"/>
      <c r="AY33" s="30"/>
      <c r="AZ33" s="30"/>
    </row>
    <row r="34" spans="1:52">
      <c r="A34" s="45"/>
      <c r="B34" s="45"/>
      <c r="C34" s="45"/>
      <c r="D34" s="45"/>
      <c r="E34" s="45"/>
      <c r="F34" s="45"/>
      <c r="G34" s="45"/>
      <c r="H34" s="45"/>
      <c r="I34" s="45" t="s">
        <v>271</v>
      </c>
      <c r="J34" s="45"/>
      <c r="K34" s="45"/>
      <c r="L34" s="45"/>
      <c r="M34" s="45"/>
      <c r="N34" s="45" t="s">
        <v>410</v>
      </c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 t="s">
        <v>410</v>
      </c>
      <c r="AE34" s="45"/>
      <c r="AF34" s="45"/>
      <c r="AG34" s="45" t="s">
        <v>411</v>
      </c>
      <c r="AH34" s="45"/>
      <c r="AI34" s="45"/>
      <c r="AJ34" s="45"/>
      <c r="AK34" s="45"/>
      <c r="AL34" s="45"/>
      <c r="AM34" s="45"/>
      <c r="AN34" s="45" t="s">
        <v>410</v>
      </c>
      <c r="AO34" s="45"/>
      <c r="AP34" s="45"/>
      <c r="AQ34" s="45"/>
      <c r="AR34" s="30"/>
      <c r="AS34" s="30"/>
      <c r="AT34" s="30"/>
      <c r="AU34" s="30"/>
      <c r="AV34" s="30"/>
      <c r="AW34" s="30"/>
      <c r="AX34" s="30"/>
      <c r="AY34" s="30"/>
      <c r="AZ34" s="30"/>
    </row>
    <row r="35" spans="1:52">
      <c r="A35" s="46"/>
      <c r="B35" s="46"/>
      <c r="C35" s="46"/>
      <c r="D35" s="46"/>
      <c r="E35" s="46"/>
      <c r="F35" s="46"/>
      <c r="G35" s="46"/>
      <c r="H35" s="46"/>
      <c r="I35" s="46" t="s">
        <v>281</v>
      </c>
      <c r="J35" s="46"/>
      <c r="K35" s="46"/>
      <c r="L35" s="46"/>
      <c r="M35" s="46"/>
      <c r="N35" s="46" t="s">
        <v>412</v>
      </c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 t="s">
        <v>412</v>
      </c>
      <c r="AE35" s="46"/>
      <c r="AF35" s="46"/>
      <c r="AG35" s="46" t="s">
        <v>326</v>
      </c>
      <c r="AH35" s="46"/>
      <c r="AI35" s="46"/>
      <c r="AJ35" s="46"/>
      <c r="AK35" s="46"/>
      <c r="AL35" s="46"/>
      <c r="AM35" s="46"/>
      <c r="AN35" s="46" t="s">
        <v>412</v>
      </c>
      <c r="AO35" s="46"/>
      <c r="AP35" s="46"/>
      <c r="AQ35" s="46"/>
      <c r="AR35" s="30"/>
      <c r="AS35" s="30"/>
      <c r="AT35" s="30"/>
      <c r="AU35" s="30"/>
      <c r="AV35" s="30"/>
      <c r="AW35" s="30"/>
      <c r="AX35" s="30"/>
      <c r="AY35" s="30"/>
      <c r="AZ35" s="30"/>
    </row>
    <row r="36" spans="1:52">
      <c r="A36" s="45"/>
      <c r="B36" s="45"/>
      <c r="C36" s="45"/>
      <c r="D36" s="45"/>
      <c r="E36" s="45"/>
      <c r="F36" s="45"/>
      <c r="G36" s="45"/>
      <c r="H36" s="45"/>
      <c r="I36" s="45" t="s">
        <v>413</v>
      </c>
      <c r="J36" s="45"/>
      <c r="K36" s="45"/>
      <c r="L36" s="45"/>
      <c r="M36" s="45"/>
      <c r="N36" s="45" t="s">
        <v>385</v>
      </c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 t="s">
        <v>385</v>
      </c>
      <c r="AE36" s="45"/>
      <c r="AF36" s="45"/>
      <c r="AG36" s="45" t="s">
        <v>414</v>
      </c>
      <c r="AH36" s="45"/>
      <c r="AI36" s="45"/>
      <c r="AJ36" s="45"/>
      <c r="AK36" s="45"/>
      <c r="AL36" s="45"/>
      <c r="AM36" s="45"/>
      <c r="AN36" s="45" t="s">
        <v>385</v>
      </c>
      <c r="AO36" s="45"/>
      <c r="AP36" s="45"/>
      <c r="AQ36" s="45"/>
      <c r="AR36" s="30"/>
      <c r="AS36" s="30"/>
      <c r="AT36" s="30"/>
      <c r="AU36" s="30"/>
      <c r="AV36" s="30"/>
      <c r="AW36" s="30"/>
      <c r="AX36" s="30"/>
      <c r="AY36" s="30"/>
      <c r="AZ36" s="30"/>
    </row>
    <row r="37" spans="1:52">
      <c r="A37" s="46"/>
      <c r="B37" s="46"/>
      <c r="C37" s="46"/>
      <c r="D37" s="46"/>
      <c r="E37" s="46"/>
      <c r="F37" s="46"/>
      <c r="G37" s="46"/>
      <c r="H37" s="46"/>
      <c r="I37" s="46" t="s">
        <v>415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 t="s">
        <v>416</v>
      </c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30"/>
      <c r="AS37" s="30"/>
      <c r="AT37" s="30"/>
      <c r="AU37" s="30"/>
      <c r="AV37" s="30"/>
      <c r="AW37" s="30"/>
      <c r="AX37" s="30"/>
      <c r="AY37" s="30"/>
      <c r="AZ37" s="30"/>
    </row>
    <row r="38" spans="1:52">
      <c r="A38" s="45"/>
      <c r="B38" s="45"/>
      <c r="C38" s="45"/>
      <c r="D38" s="45"/>
      <c r="E38" s="45"/>
      <c r="F38" s="45"/>
      <c r="G38" s="45"/>
      <c r="H38" s="45"/>
      <c r="I38" s="45" t="s">
        <v>369</v>
      </c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 t="s">
        <v>417</v>
      </c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30"/>
      <c r="AS38" s="30"/>
      <c r="AT38" s="30"/>
      <c r="AU38" s="30"/>
      <c r="AV38" s="30"/>
      <c r="AW38" s="30"/>
      <c r="AX38" s="30"/>
      <c r="AY38" s="30"/>
      <c r="AZ38" s="30"/>
    </row>
    <row r="39" spans="1:52">
      <c r="A39" s="46"/>
      <c r="B39" s="46"/>
      <c r="C39" s="46"/>
      <c r="D39" s="46"/>
      <c r="E39" s="46"/>
      <c r="F39" s="46"/>
      <c r="G39" s="46"/>
      <c r="H39" s="46"/>
      <c r="I39" s="46" t="s">
        <v>418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 t="s">
        <v>419</v>
      </c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2">
      <c r="A40" s="45"/>
      <c r="B40" s="45"/>
      <c r="C40" s="45"/>
      <c r="D40" s="45"/>
      <c r="E40" s="45"/>
      <c r="F40" s="45"/>
      <c r="G40" s="45"/>
      <c r="H40" s="45"/>
      <c r="I40" s="45" t="s">
        <v>420</v>
      </c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 t="s">
        <v>332</v>
      </c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2">
      <c r="A41" s="46"/>
      <c r="B41" s="46"/>
      <c r="C41" s="46"/>
      <c r="D41" s="46"/>
      <c r="E41" s="46"/>
      <c r="F41" s="46"/>
      <c r="G41" s="46"/>
      <c r="H41" s="46"/>
      <c r="I41" s="46" t="s">
        <v>401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 t="s">
        <v>421</v>
      </c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2">
      <c r="A42" s="45"/>
      <c r="B42" s="45"/>
      <c r="C42" s="45"/>
      <c r="D42" s="45"/>
      <c r="E42" s="45"/>
      <c r="F42" s="45"/>
      <c r="G42" s="45"/>
      <c r="H42" s="45"/>
      <c r="I42" s="45" t="s">
        <v>422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 t="s">
        <v>423</v>
      </c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2">
      <c r="A43" s="46"/>
      <c r="B43" s="46"/>
      <c r="C43" s="46"/>
      <c r="D43" s="46"/>
      <c r="E43" s="46"/>
      <c r="F43" s="46"/>
      <c r="G43" s="46"/>
      <c r="H43" s="46"/>
      <c r="I43" s="46" t="s">
        <v>424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 t="s">
        <v>425</v>
      </c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2">
      <c r="A44" s="45"/>
      <c r="B44" s="45"/>
      <c r="C44" s="45"/>
      <c r="D44" s="45"/>
      <c r="E44" s="45"/>
      <c r="F44" s="45"/>
      <c r="G44" s="45"/>
      <c r="H44" s="45"/>
      <c r="I44" s="45" t="s">
        <v>426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 t="s">
        <v>427</v>
      </c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2">
      <c r="A45" s="46"/>
      <c r="B45" s="46"/>
      <c r="C45" s="46"/>
      <c r="D45" s="46"/>
      <c r="E45" s="46"/>
      <c r="F45" s="46"/>
      <c r="G45" s="46"/>
      <c r="H45" s="46"/>
      <c r="I45" s="46" t="s">
        <v>428</v>
      </c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 t="s">
        <v>429</v>
      </c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2">
      <c r="A46" s="45"/>
      <c r="B46" s="45"/>
      <c r="C46" s="45"/>
      <c r="D46" s="45"/>
      <c r="E46" s="45"/>
      <c r="F46" s="45"/>
      <c r="G46" s="45"/>
      <c r="H46" s="45"/>
      <c r="I46" s="45" t="s">
        <v>430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 t="s">
        <v>431</v>
      </c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2">
      <c r="A47" s="46"/>
      <c r="B47" s="46"/>
      <c r="C47" s="46"/>
      <c r="D47" s="46"/>
      <c r="E47" s="46"/>
      <c r="F47" s="46"/>
      <c r="G47" s="46"/>
      <c r="H47" s="46"/>
      <c r="I47" s="46" t="s">
        <v>432</v>
      </c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 t="s">
        <v>433</v>
      </c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2">
      <c r="A48" s="45"/>
      <c r="B48" s="45"/>
      <c r="C48" s="45"/>
      <c r="D48" s="45"/>
      <c r="E48" s="45"/>
      <c r="F48" s="45"/>
      <c r="G48" s="45"/>
      <c r="H48" s="45"/>
      <c r="I48" s="45" t="s">
        <v>292</v>
      </c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 t="s">
        <v>434</v>
      </c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>
      <c r="A49" s="46"/>
      <c r="B49" s="46"/>
      <c r="C49" s="46"/>
      <c r="D49" s="46"/>
      <c r="E49" s="46"/>
      <c r="F49" s="46"/>
      <c r="G49" s="46"/>
      <c r="H49" s="46"/>
      <c r="I49" s="46" t="s">
        <v>309</v>
      </c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>
      <c r="A50" s="45"/>
      <c r="B50" s="45"/>
      <c r="C50" s="45"/>
      <c r="D50" s="45"/>
      <c r="E50" s="45"/>
      <c r="F50" s="45"/>
      <c r="G50" s="45"/>
      <c r="H50" s="45"/>
      <c r="I50" s="45" t="s">
        <v>300</v>
      </c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>
      <c r="A51" s="46"/>
      <c r="B51" s="46"/>
      <c r="C51" s="46"/>
      <c r="D51" s="46"/>
      <c r="E51" s="46"/>
      <c r="F51" s="46"/>
      <c r="G51" s="46"/>
      <c r="H51" s="46"/>
      <c r="I51" s="46" t="s">
        <v>353</v>
      </c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>
      <c r="A52" s="45"/>
      <c r="B52" s="45"/>
      <c r="C52" s="45"/>
      <c r="D52" s="45"/>
      <c r="E52" s="45"/>
      <c r="F52" s="45"/>
      <c r="G52" s="45"/>
      <c r="H52" s="45"/>
      <c r="I52" s="45" t="s">
        <v>359</v>
      </c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>
      <c r="A53" s="46"/>
      <c r="B53" s="46"/>
      <c r="C53" s="46"/>
      <c r="D53" s="46"/>
      <c r="E53" s="46"/>
      <c r="F53" s="46"/>
      <c r="G53" s="46"/>
      <c r="H53" s="46"/>
      <c r="I53" s="46" t="s">
        <v>336</v>
      </c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>
      <c r="A54" s="45"/>
      <c r="B54" s="45"/>
      <c r="C54" s="45"/>
      <c r="D54" s="45"/>
      <c r="E54" s="45"/>
      <c r="F54" s="45"/>
      <c r="G54" s="45"/>
      <c r="H54" s="45"/>
      <c r="I54" s="45" t="s">
        <v>343</v>
      </c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>
      <c r="A55" s="46"/>
      <c r="B55" s="46"/>
      <c r="C55" s="46"/>
      <c r="D55" s="46"/>
      <c r="E55" s="46"/>
      <c r="F55" s="46"/>
      <c r="G55" s="46"/>
      <c r="H55" s="46"/>
      <c r="I55" s="46" t="s">
        <v>348</v>
      </c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>
      <c r="A56" s="45"/>
      <c r="B56" s="45"/>
      <c r="C56" s="45"/>
      <c r="D56" s="45"/>
      <c r="E56" s="45"/>
      <c r="F56" s="45"/>
      <c r="G56" s="45"/>
      <c r="H56" s="45"/>
      <c r="I56" s="45" t="s">
        <v>435</v>
      </c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>
      <c r="A57" s="46"/>
      <c r="B57" s="46"/>
      <c r="C57" s="46"/>
      <c r="D57" s="46"/>
      <c r="E57" s="46"/>
      <c r="F57" s="46"/>
      <c r="G57" s="46"/>
      <c r="H57" s="46"/>
      <c r="I57" s="46" t="s">
        <v>436</v>
      </c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>
      <c r="A58" s="45"/>
      <c r="B58" s="45"/>
      <c r="C58" s="45"/>
      <c r="D58" s="45"/>
      <c r="E58" s="45"/>
      <c r="F58" s="45"/>
      <c r="G58" s="45"/>
      <c r="H58" s="45"/>
      <c r="I58" s="45" t="s">
        <v>437</v>
      </c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>
      <c r="A59" s="46"/>
      <c r="B59" s="46"/>
      <c r="C59" s="46"/>
      <c r="D59" s="46"/>
      <c r="E59" s="46"/>
      <c r="F59" s="46"/>
      <c r="G59" s="46"/>
      <c r="H59" s="46"/>
      <c r="I59" s="46" t="s">
        <v>438</v>
      </c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>
      <c r="A60" s="45"/>
      <c r="B60" s="45"/>
      <c r="C60" s="45"/>
      <c r="D60" s="45"/>
      <c r="E60" s="45"/>
      <c r="F60" s="45"/>
      <c r="G60" s="45"/>
      <c r="H60" s="45"/>
      <c r="I60" s="45" t="s">
        <v>439</v>
      </c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>
      <c r="A61" s="46"/>
      <c r="B61" s="46"/>
      <c r="C61" s="46"/>
      <c r="D61" s="46"/>
      <c r="E61" s="46"/>
      <c r="F61" s="46"/>
      <c r="G61" s="46"/>
      <c r="H61" s="46"/>
      <c r="I61" s="46" t="s">
        <v>440</v>
      </c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>
      <c r="A62" s="45"/>
      <c r="B62" s="45"/>
      <c r="C62" s="45"/>
      <c r="D62" s="45"/>
      <c r="E62" s="45"/>
      <c r="F62" s="45"/>
      <c r="G62" s="45"/>
      <c r="H62" s="45"/>
      <c r="I62" s="45" t="s">
        <v>441</v>
      </c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>
      <c r="A63" s="46"/>
      <c r="B63" s="46"/>
      <c r="C63" s="46"/>
      <c r="D63" s="46"/>
      <c r="E63" s="46"/>
      <c r="F63" s="46"/>
      <c r="G63" s="46"/>
      <c r="H63" s="46"/>
      <c r="I63" s="46" t="s">
        <v>442</v>
      </c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>
      <c r="A64" s="45"/>
      <c r="B64" s="45"/>
      <c r="C64" s="45"/>
      <c r="D64" s="45"/>
      <c r="E64" s="45"/>
      <c r="F64" s="45"/>
      <c r="G64" s="45"/>
      <c r="H64" s="45"/>
      <c r="I64" s="45" t="s">
        <v>390</v>
      </c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>
      <c r="A65" s="46"/>
      <c r="B65" s="46"/>
      <c r="C65" s="46"/>
      <c r="D65" s="46"/>
      <c r="E65" s="46"/>
      <c r="F65" s="46"/>
      <c r="G65" s="46"/>
      <c r="H65" s="46"/>
      <c r="I65" s="46" t="s">
        <v>443</v>
      </c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>
      <c r="A66" s="45"/>
      <c r="B66" s="45"/>
      <c r="C66" s="45"/>
      <c r="D66" s="45"/>
      <c r="E66" s="45"/>
      <c r="F66" s="45"/>
      <c r="G66" s="45"/>
      <c r="H66" s="45"/>
      <c r="I66" s="45" t="s">
        <v>444</v>
      </c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>
      <c r="A67" s="46"/>
      <c r="B67" s="46"/>
      <c r="C67" s="46"/>
      <c r="D67" s="46"/>
      <c r="E67" s="46"/>
      <c r="F67" s="46"/>
      <c r="G67" s="46"/>
      <c r="H67" s="46"/>
      <c r="I67" s="46" t="s">
        <v>374</v>
      </c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>
      <c r="A68" s="45"/>
      <c r="B68" s="45"/>
      <c r="C68" s="45"/>
      <c r="D68" s="45"/>
      <c r="E68" s="45"/>
      <c r="F68" s="45"/>
      <c r="G68" s="45"/>
      <c r="H68" s="45"/>
      <c r="I68" s="45" t="s">
        <v>445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>
      <c r="A69" s="46"/>
      <c r="B69" s="46"/>
      <c r="C69" s="46"/>
      <c r="D69" s="46"/>
      <c r="E69" s="46"/>
      <c r="F69" s="46"/>
      <c r="G69" s="46"/>
      <c r="H69" s="46"/>
      <c r="I69" s="46" t="s">
        <v>446</v>
      </c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>
      <c r="A70" s="45"/>
      <c r="B70" s="45"/>
      <c r="C70" s="45"/>
      <c r="D70" s="45"/>
      <c r="E70" s="45"/>
      <c r="F70" s="45"/>
      <c r="G70" s="45"/>
      <c r="H70" s="45"/>
      <c r="I70" s="45" t="s">
        <v>447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>
      <c r="A71" s="46"/>
      <c r="B71" s="46"/>
      <c r="C71" s="46"/>
      <c r="D71" s="46"/>
      <c r="E71" s="46"/>
      <c r="F71" s="46"/>
      <c r="G71" s="46"/>
      <c r="H71" s="46"/>
      <c r="I71" s="46" t="s">
        <v>417</v>
      </c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30"/>
      <c r="AS71" s="30"/>
      <c r="AT71" s="30"/>
      <c r="AU71" s="30"/>
      <c r="AV71" s="30"/>
      <c r="AW71" s="30"/>
      <c r="AX71" s="30"/>
      <c r="AY71" s="30"/>
      <c r="AZ71" s="30"/>
    </row>
    <row r="72" spans="1:52">
      <c r="A72" s="45"/>
      <c r="B72" s="45"/>
      <c r="C72" s="45"/>
      <c r="D72" s="45"/>
      <c r="E72" s="45"/>
      <c r="F72" s="45"/>
      <c r="G72" s="45"/>
      <c r="H72" s="45"/>
      <c r="I72" s="45" t="s">
        <v>411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30"/>
      <c r="AS72" s="30"/>
      <c r="AT72" s="30"/>
      <c r="AU72" s="30"/>
      <c r="AV72" s="30"/>
      <c r="AW72" s="30"/>
      <c r="AX72" s="30"/>
      <c r="AY72" s="30"/>
      <c r="AZ72" s="30"/>
    </row>
    <row r="73" spans="1:52">
      <c r="A73" s="46"/>
      <c r="B73" s="46"/>
      <c r="C73" s="46"/>
      <c r="D73" s="46"/>
      <c r="E73" s="46"/>
      <c r="F73" s="46"/>
      <c r="G73" s="46"/>
      <c r="H73" s="46"/>
      <c r="I73" s="46" t="s">
        <v>378</v>
      </c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30"/>
      <c r="AS73" s="30"/>
      <c r="AT73" s="30"/>
      <c r="AU73" s="30"/>
      <c r="AV73" s="30"/>
      <c r="AW73" s="30"/>
      <c r="AX73" s="30"/>
      <c r="AY73" s="30"/>
      <c r="AZ73" s="30"/>
    </row>
    <row r="74" spans="1:52">
      <c r="A74" s="45"/>
      <c r="B74" s="45"/>
      <c r="C74" s="45"/>
      <c r="D74" s="45"/>
      <c r="E74" s="45"/>
      <c r="F74" s="45"/>
      <c r="G74" s="45"/>
      <c r="H74" s="45"/>
      <c r="I74" s="45" t="s">
        <v>448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30"/>
      <c r="AS74" s="30"/>
      <c r="AT74" s="30"/>
      <c r="AU74" s="30"/>
      <c r="AV74" s="30"/>
      <c r="AW74" s="30"/>
      <c r="AX74" s="30"/>
      <c r="AY74" s="30"/>
      <c r="AZ74" s="30"/>
    </row>
    <row r="75" spans="1:52">
      <c r="A75" s="46"/>
      <c r="B75" s="46"/>
      <c r="C75" s="46"/>
      <c r="D75" s="46"/>
      <c r="E75" s="46"/>
      <c r="F75" s="46"/>
      <c r="G75" s="46"/>
      <c r="H75" s="46"/>
      <c r="I75" s="46" t="s">
        <v>449</v>
      </c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30"/>
      <c r="AS75" s="30"/>
      <c r="AT75" s="30"/>
      <c r="AU75" s="30"/>
      <c r="AV75" s="30"/>
      <c r="AW75" s="30"/>
      <c r="AX75" s="30"/>
      <c r="AY75" s="30"/>
      <c r="AZ75" s="30"/>
    </row>
    <row r="76" spans="1:52">
      <c r="A76" s="45"/>
      <c r="B76" s="45"/>
      <c r="C76" s="45"/>
      <c r="D76" s="45"/>
      <c r="E76" s="45"/>
      <c r="F76" s="45"/>
      <c r="G76" s="45"/>
      <c r="H76" s="45"/>
      <c r="I76" s="45" t="s">
        <v>238</v>
      </c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30"/>
      <c r="AS76" s="30"/>
      <c r="AT76" s="30"/>
      <c r="AU76" s="30"/>
      <c r="AV76" s="30"/>
      <c r="AW76" s="30"/>
      <c r="AX76" s="30"/>
      <c r="AY76" s="30"/>
      <c r="AZ76" s="30"/>
    </row>
    <row r="77" spans="1:52">
      <c r="A77" s="46"/>
      <c r="B77" s="46"/>
      <c r="C77" s="46"/>
      <c r="D77" s="46"/>
      <c r="E77" s="46"/>
      <c r="F77" s="46"/>
      <c r="G77" s="46"/>
      <c r="H77" s="46"/>
      <c r="I77" s="46" t="s">
        <v>450</v>
      </c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30"/>
      <c r="AS77" s="30"/>
      <c r="AT77" s="30"/>
      <c r="AU77" s="30"/>
      <c r="AV77" s="30"/>
      <c r="AW77" s="30"/>
      <c r="AX77" s="30"/>
      <c r="AY77" s="30"/>
      <c r="AZ77" s="30"/>
    </row>
    <row r="78" spans="1:52">
      <c r="A78" s="45"/>
      <c r="B78" s="45"/>
      <c r="C78" s="45"/>
      <c r="D78" s="45"/>
      <c r="E78" s="45"/>
      <c r="F78" s="45"/>
      <c r="G78" s="45"/>
      <c r="H78" s="45"/>
      <c r="I78" s="45" t="s">
        <v>451</v>
      </c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30"/>
      <c r="AS78" s="30"/>
      <c r="AT78" s="30"/>
      <c r="AU78" s="30"/>
      <c r="AV78" s="30"/>
      <c r="AW78" s="30"/>
      <c r="AX78" s="30"/>
      <c r="AY78" s="30"/>
      <c r="AZ78" s="30"/>
    </row>
  </sheetData>
  <mergeCells count="1">
    <mergeCell ref="A1:AQ1"/>
  </mergeCells>
  <phoneticPr fontId="1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51</vt:i4>
      </vt:variant>
    </vt:vector>
  </HeadingPairs>
  <TitlesOfParts>
    <vt:vector size="55" baseType="lpstr">
      <vt:lpstr>요청목록</vt:lpstr>
      <vt:lpstr>공통정보</vt:lpstr>
      <vt:lpstr>입력 포맷</vt:lpstr>
      <vt:lpstr>폼 선택값</vt:lpstr>
      <vt:lpstr>Cascade_Body</vt:lpstr>
      <vt:lpstr>Cascade_Keys</vt:lpstr>
      <vt:lpstr>Keys_DT</vt:lpstr>
      <vt:lpstr>Keys_MT</vt:lpstr>
      <vt:lpstr>Keys_QT</vt:lpstr>
      <vt:lpstr>L_DT_ADM</vt:lpstr>
      <vt:lpstr>L_DT_ANTH</vt:lpstr>
      <vt:lpstr>L_DT_AOAI</vt:lpstr>
      <vt:lpstr>L_DT_FW</vt:lpstr>
      <vt:lpstr>L_MD_ADM_DZP</vt:lpstr>
      <vt:lpstr>L_MD_ADM_DZS</vt:lpstr>
      <vt:lpstr>L_MD_ADM_GP</vt:lpstr>
      <vt:lpstr>L_MD_ADM_GS</vt:lpstr>
      <vt:lpstr>L_MD_ADM_PTU</vt:lpstr>
      <vt:lpstr>L_MD_AOAI_DZB</vt:lpstr>
      <vt:lpstr>L_MD_AOAI_DZP</vt:lpstr>
      <vt:lpstr>L_MD_AOAI_DZS</vt:lpstr>
      <vt:lpstr>L_MD_AOAI_GB</vt:lpstr>
      <vt:lpstr>L_MD_AOAI_GP</vt:lpstr>
      <vt:lpstr>L_MD_AOAI_GS</vt:lpstr>
      <vt:lpstr>L_MD_AOAI_PTU</vt:lpstr>
      <vt:lpstr>L_MD_AOAI_STD</vt:lpstr>
      <vt:lpstr>L_MD_FW_DZP</vt:lpstr>
      <vt:lpstr>L_MD_FW_DZS</vt:lpstr>
      <vt:lpstr>L_MD_FW_GP</vt:lpstr>
      <vt:lpstr>L_MD_FW_GS</vt:lpstr>
      <vt:lpstr>L_MT_FT</vt:lpstr>
      <vt:lpstr>L_MT_MC</vt:lpstr>
      <vt:lpstr>L_MT_MD</vt:lpstr>
      <vt:lpstr>L_NA</vt:lpstr>
      <vt:lpstr>L_QT</vt:lpstr>
      <vt:lpstr>L_RG_ADM_DZP</vt:lpstr>
      <vt:lpstr>L_RG_ADM_DZS</vt:lpstr>
      <vt:lpstr>L_RG_ADM_GP</vt:lpstr>
      <vt:lpstr>L_RG_ADM_GS</vt:lpstr>
      <vt:lpstr>L_RG_ADM_PTU</vt:lpstr>
      <vt:lpstr>L_RG_AOAI_DZB</vt:lpstr>
      <vt:lpstr>L_RG_AOAI_DZP</vt:lpstr>
      <vt:lpstr>L_RG_AOAI_DZS</vt:lpstr>
      <vt:lpstr>L_RG_AOAI_GB</vt:lpstr>
      <vt:lpstr>L_RG_AOAI_GP</vt:lpstr>
      <vt:lpstr>L_RG_AOAI_GS</vt:lpstr>
      <vt:lpstr>L_RG_AOAI_PTU</vt:lpstr>
      <vt:lpstr>L_RG_AOAI_STD</vt:lpstr>
      <vt:lpstr>L_RG_FW_DZP</vt:lpstr>
      <vt:lpstr>L_RG_FW_DZS</vt:lpstr>
      <vt:lpstr>L_RG_FW_GP</vt:lpstr>
      <vt:lpstr>L_RG_FW_GS</vt:lpstr>
      <vt:lpstr>List_AOAIDeployType</vt:lpstr>
      <vt:lpstr>List_ModelType</vt:lpstr>
      <vt:lpstr>List_QuotaType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Foundry quota increase request template</dc:title>
  <dc:subject>Blank request inputs and reference-only form choices</dc:subject>
  <dc:creator>Foundry Quota Increase Skill</dc:creator>
  <dc:description>Request inputs and common values are blank. Execution=Y selects rows but does not replace human submission approval.</dc:description>
  <cp:lastModifiedBy>Foundry Quota Increase Skill</cp:lastModifiedBy>
  <dcterms:created xsi:type="dcterms:W3CDTF">2026-10-22T03:26:59Z</dcterms:created>
  <dcterms:modified xsi:type="dcterms:W3CDTF">2026-10-26T04:41:06Z</dcterms:modified>
</cp:coreProperties>
</file>